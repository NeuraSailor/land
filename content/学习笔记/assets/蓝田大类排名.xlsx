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stop\2025-2026学年辅导员工作\【11】评奖评优\学业成绩\"/>
    </mc:Choice>
  </mc:AlternateContent>
  <xr:revisionPtr revIDLastSave="0" documentId="13_ncr:1_{7E1D4BE0-8EE9-4E0D-97FA-74A653886601}" xr6:coauthVersionLast="47" xr6:coauthVersionMax="47" xr10:uidLastSave="{00000000-0000-0000-0000-000000000000}"/>
  <bookViews>
    <workbookView xWindow="12" yWindow="12" windowWidth="23016" windowHeight="12216" activeTab="2" xr2:uid="{409401AB-C4D8-4741-9BDD-E50BB358B8E6}"/>
  </bookViews>
  <sheets>
    <sheet name="工科试验班（智慧能源）" sheetId="1" r:id="rId1"/>
    <sheet name="工科试验班" sheetId="2" r:id="rId2"/>
    <sheet name="工科试验班（智慧城市与建筑工程）" sheetId="3" r:id="rId3"/>
    <sheet name="工科试验班（海洋）" sheetId="5" r:id="rId4"/>
    <sheet name="医学试验班类（5+3）" sheetId="6" r:id="rId5"/>
    <sheet name="医学试验班类" sheetId="7" r:id="rId6"/>
    <sheet name="预防医学" sheetId="8" r:id="rId7"/>
    <sheet name="药学类" sheetId="4" r:id="rId8"/>
  </sheets>
  <definedNames>
    <definedName name="_xlnm._FilterDatabase" localSheetId="1" hidden="1">工科试验班!$A$1:$H$702</definedName>
    <definedName name="_xlnm._FilterDatabase" localSheetId="3" hidden="1">'工科试验班（海洋）'!$A$1:$H$191</definedName>
    <definedName name="_xlnm._FilterDatabase" localSheetId="2" hidden="1">'工科试验班（智慧城市与建筑工程）'!$A$1:$H$280</definedName>
    <definedName name="_xlnm._FilterDatabase" localSheetId="0" hidden="1">'工科试验班（智慧能源）'!$A$1:$H$21</definedName>
    <definedName name="_xlnm._FilterDatabase" localSheetId="7" hidden="1">药学类!$A$1:$H$119</definedName>
    <definedName name="_xlnm._FilterDatabase" localSheetId="5" hidden="1">医学试验班类!$A$1:$H$110</definedName>
    <definedName name="_xlnm._FilterDatabase" localSheetId="4" hidden="1">'医学试验班类（5+3）'!$A$1:$H$225</definedName>
    <definedName name="_xlnm._FilterDatabase" localSheetId="6" hidden="1">预防医学!$A$1:$H$71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0" i="2" l="1"/>
  <c r="F48" i="8"/>
  <c r="F120" i="6"/>
  <c r="F220" i="6"/>
  <c r="F13" i="6"/>
  <c r="F2" i="1"/>
  <c r="E2" i="4" l="1"/>
  <c r="F82" i="4"/>
  <c r="F18" i="4"/>
  <c r="F12" i="4"/>
  <c r="F78" i="4"/>
  <c r="F62" i="4"/>
  <c r="F11" i="4"/>
  <c r="F109" i="4"/>
  <c r="F61" i="4"/>
  <c r="F10" i="4"/>
  <c r="F108" i="4"/>
  <c r="F60" i="4"/>
  <c r="F107" i="4"/>
  <c r="F59" i="4"/>
  <c r="F106" i="4"/>
  <c r="F58" i="4"/>
  <c r="F35" i="4"/>
  <c r="F57" i="4"/>
  <c r="F41" i="4"/>
  <c r="E66" i="4"/>
  <c r="E41" i="4"/>
  <c r="F15" i="4"/>
  <c r="F85" i="4"/>
  <c r="F34" i="4"/>
  <c r="F84" i="4"/>
  <c r="F83" i="4"/>
  <c r="F14" i="4"/>
  <c r="F13" i="4"/>
  <c r="F105" i="4"/>
  <c r="F40" i="4"/>
  <c r="F37" i="4"/>
  <c r="F104" i="4"/>
  <c r="F36" i="4"/>
  <c r="F88" i="4"/>
  <c r="F101" i="4"/>
  <c r="F77" i="4"/>
  <c r="F56" i="4"/>
  <c r="F30" i="4"/>
  <c r="F9" i="4"/>
  <c r="F100" i="4"/>
  <c r="F76" i="4"/>
  <c r="F53" i="4"/>
  <c r="F29" i="4"/>
  <c r="F8" i="4"/>
  <c r="F99" i="4"/>
  <c r="F75" i="4"/>
  <c r="F52" i="4"/>
  <c r="F28" i="4"/>
  <c r="F5" i="4"/>
  <c r="F98" i="4"/>
  <c r="F74" i="4"/>
  <c r="F51" i="4"/>
  <c r="F27" i="4"/>
  <c r="F4" i="4"/>
  <c r="F93" i="4"/>
  <c r="F73" i="4"/>
  <c r="F50" i="4"/>
  <c r="F26" i="4"/>
  <c r="F3" i="4"/>
  <c r="F117" i="4"/>
  <c r="G117" i="4" s="1"/>
  <c r="F94" i="4"/>
  <c r="F72" i="4"/>
  <c r="F46" i="4"/>
  <c r="F25" i="4"/>
  <c r="G25" i="4" s="1"/>
  <c r="F2" i="4"/>
  <c r="G2" i="4" s="1"/>
  <c r="F116" i="4"/>
  <c r="F92" i="4"/>
  <c r="F69" i="4"/>
  <c r="F45" i="4"/>
  <c r="F24" i="4"/>
  <c r="F115" i="4"/>
  <c r="F91" i="4"/>
  <c r="F68" i="4"/>
  <c r="F44" i="4"/>
  <c r="F21" i="4"/>
  <c r="F114" i="4"/>
  <c r="G114" i="4" s="1"/>
  <c r="F90" i="4"/>
  <c r="F67" i="4"/>
  <c r="F43" i="4"/>
  <c r="F20" i="4"/>
  <c r="F110" i="4"/>
  <c r="F89" i="4"/>
  <c r="F66" i="4"/>
  <c r="F42" i="4"/>
  <c r="F19" i="4"/>
  <c r="F119" i="4"/>
  <c r="F103" i="4"/>
  <c r="F87" i="4"/>
  <c r="F71" i="4"/>
  <c r="F55" i="4"/>
  <c r="F39" i="4"/>
  <c r="F23" i="4"/>
  <c r="F7" i="4"/>
  <c r="F118" i="4"/>
  <c r="F102" i="4"/>
  <c r="F86" i="4"/>
  <c r="F70" i="4"/>
  <c r="F54" i="4"/>
  <c r="F38" i="4"/>
  <c r="F22" i="4"/>
  <c r="F6" i="4"/>
  <c r="F97" i="4"/>
  <c r="F65" i="4"/>
  <c r="F33" i="4"/>
  <c r="F112" i="4"/>
  <c r="F96" i="4"/>
  <c r="F80" i="4"/>
  <c r="F64" i="4"/>
  <c r="F48" i="4"/>
  <c r="F32" i="4"/>
  <c r="F16" i="4"/>
  <c r="F113" i="4"/>
  <c r="F81" i="4"/>
  <c r="F49" i="4"/>
  <c r="F17" i="4"/>
  <c r="F111" i="4"/>
  <c r="F95" i="4"/>
  <c r="F79" i="4"/>
  <c r="F63" i="4"/>
  <c r="F47" i="4"/>
  <c r="F31" i="4"/>
  <c r="E11" i="4"/>
  <c r="E105" i="4"/>
  <c r="E26" i="4"/>
  <c r="G26" i="4" s="1"/>
  <c r="E89" i="4"/>
  <c r="E25" i="4"/>
  <c r="E74" i="4"/>
  <c r="E10" i="4"/>
  <c r="G10" i="4" s="1"/>
  <c r="E73" i="4"/>
  <c r="E9" i="4"/>
  <c r="E17" i="4"/>
  <c r="E90" i="4"/>
  <c r="E65" i="4"/>
  <c r="E114" i="4"/>
  <c r="E50" i="4"/>
  <c r="E113" i="4"/>
  <c r="E49" i="4"/>
  <c r="E98" i="4"/>
  <c r="E34" i="4"/>
  <c r="G34" i="4" s="1"/>
  <c r="E97" i="4"/>
  <c r="G97" i="4" s="1"/>
  <c r="E58" i="4"/>
  <c r="E33" i="4"/>
  <c r="E82" i="4"/>
  <c r="G82" i="4" s="1"/>
  <c r="E57" i="4"/>
  <c r="G57" i="4" s="1"/>
  <c r="E18" i="4"/>
  <c r="E106" i="4"/>
  <c r="E81" i="4"/>
  <c r="E42" i="4"/>
  <c r="G42" i="4" s="1"/>
  <c r="E3" i="4"/>
  <c r="E119" i="4"/>
  <c r="G119" i="4" s="1"/>
  <c r="E112" i="4"/>
  <c r="E104" i="4"/>
  <c r="E96" i="4"/>
  <c r="E88" i="4"/>
  <c r="G88" i="4" s="1"/>
  <c r="E80" i="4"/>
  <c r="G80" i="4" s="1"/>
  <c r="E72" i="4"/>
  <c r="E64" i="4"/>
  <c r="E56" i="4"/>
  <c r="E48" i="4"/>
  <c r="E40" i="4"/>
  <c r="G40" i="4" s="1"/>
  <c r="E32" i="4"/>
  <c r="E24" i="4"/>
  <c r="E16" i="4"/>
  <c r="E8" i="4"/>
  <c r="E118" i="4"/>
  <c r="E111" i="4"/>
  <c r="E103" i="4"/>
  <c r="G103" i="4" s="1"/>
  <c r="E95" i="4"/>
  <c r="E87" i="4"/>
  <c r="E79" i="4"/>
  <c r="G79" i="4" s="1"/>
  <c r="E71" i="4"/>
  <c r="E63" i="4"/>
  <c r="G63" i="4" s="1"/>
  <c r="E47" i="4"/>
  <c r="E39" i="4"/>
  <c r="E31" i="4"/>
  <c r="G31" i="4" s="1"/>
  <c r="E23" i="4"/>
  <c r="E15" i="4"/>
  <c r="E7" i="4"/>
  <c r="E117" i="4"/>
  <c r="E110" i="4"/>
  <c r="E102" i="4"/>
  <c r="E93" i="4"/>
  <c r="E86" i="4"/>
  <c r="E78" i="4"/>
  <c r="E70" i="4"/>
  <c r="E62" i="4"/>
  <c r="G62" i="4" s="1"/>
  <c r="E54" i="4"/>
  <c r="E46" i="4"/>
  <c r="E38" i="4"/>
  <c r="E30" i="4"/>
  <c r="E14" i="4"/>
  <c r="E6" i="4"/>
  <c r="E109" i="4"/>
  <c r="E101" i="4"/>
  <c r="E94" i="4"/>
  <c r="E85" i="4"/>
  <c r="E77" i="4"/>
  <c r="G77" i="4" s="1"/>
  <c r="E69" i="4"/>
  <c r="E61" i="4"/>
  <c r="E53" i="4"/>
  <c r="E45" i="4"/>
  <c r="E29" i="4"/>
  <c r="E21" i="4"/>
  <c r="E13" i="4"/>
  <c r="G13" i="4" s="1"/>
  <c r="E5" i="4"/>
  <c r="E108" i="4"/>
  <c r="E100" i="4"/>
  <c r="E92" i="4"/>
  <c r="E84" i="4"/>
  <c r="E76" i="4"/>
  <c r="E68" i="4"/>
  <c r="E60" i="4"/>
  <c r="E52" i="4"/>
  <c r="E44" i="4"/>
  <c r="E36" i="4"/>
  <c r="E28" i="4"/>
  <c r="E20" i="4"/>
  <c r="E12" i="4"/>
  <c r="G12" i="4" s="1"/>
  <c r="E115" i="4"/>
  <c r="G115" i="4" s="1"/>
  <c r="E4" i="4"/>
  <c r="G4" i="4" s="1"/>
  <c r="E55" i="4"/>
  <c r="E22" i="4"/>
  <c r="E37" i="4"/>
  <c r="G37" i="4" s="1"/>
  <c r="E116" i="4"/>
  <c r="E107" i="4"/>
  <c r="E99" i="4"/>
  <c r="E91" i="4"/>
  <c r="E83" i="4"/>
  <c r="E75" i="4"/>
  <c r="E67" i="4"/>
  <c r="E59" i="4"/>
  <c r="E51" i="4"/>
  <c r="E43" i="4"/>
  <c r="E35" i="4"/>
  <c r="G35" i="4" s="1"/>
  <c r="E27" i="4"/>
  <c r="E19" i="4"/>
  <c r="F32" i="8"/>
  <c r="F16" i="8"/>
  <c r="E57" i="8"/>
  <c r="E20" i="8"/>
  <c r="G20" i="8" s="1"/>
  <c r="F63" i="8"/>
  <c r="F15" i="8"/>
  <c r="E23" i="8"/>
  <c r="F47" i="8"/>
  <c r="F65" i="8"/>
  <c r="F33" i="8"/>
  <c r="F64" i="8"/>
  <c r="E39" i="8"/>
  <c r="E34" i="8"/>
  <c r="E38" i="8"/>
  <c r="E37" i="8"/>
  <c r="E22" i="8"/>
  <c r="G22" i="8" s="1"/>
  <c r="F17" i="8"/>
  <c r="E56" i="8"/>
  <c r="E55" i="8"/>
  <c r="E54" i="8"/>
  <c r="G54" i="8" s="1"/>
  <c r="F20" i="8"/>
  <c r="E53" i="8"/>
  <c r="F4" i="8"/>
  <c r="E36" i="8"/>
  <c r="G36" i="8" s="1"/>
  <c r="F49" i="8"/>
  <c r="E58" i="8"/>
  <c r="E21" i="8"/>
  <c r="E19" i="8"/>
  <c r="E4" i="8"/>
  <c r="G4" i="8" s="1"/>
  <c r="E3" i="8"/>
  <c r="E2" i="8"/>
  <c r="F7" i="8"/>
  <c r="E35" i="8"/>
  <c r="G35" i="8" s="1"/>
  <c r="E24" i="8"/>
  <c r="F38" i="8"/>
  <c r="F21" i="8"/>
  <c r="F22" i="8"/>
  <c r="F54" i="8"/>
  <c r="F6" i="8"/>
  <c r="F53" i="8"/>
  <c r="F5" i="8"/>
  <c r="F36" i="8"/>
  <c r="F70" i="8"/>
  <c r="F37" i="8"/>
  <c r="F52" i="8"/>
  <c r="F69" i="8"/>
  <c r="F31" i="8"/>
  <c r="F68" i="8"/>
  <c r="G68" i="8" s="1"/>
  <c r="F67" i="8"/>
  <c r="F51" i="8"/>
  <c r="F35" i="8"/>
  <c r="F19" i="8"/>
  <c r="F3" i="8"/>
  <c r="F66" i="8"/>
  <c r="F50" i="8"/>
  <c r="F34" i="8"/>
  <c r="F18" i="8"/>
  <c r="F2" i="8"/>
  <c r="F46" i="8"/>
  <c r="F61" i="8"/>
  <c r="F45" i="8"/>
  <c r="F29" i="8"/>
  <c r="F13" i="8"/>
  <c r="F30" i="8"/>
  <c r="F60" i="8"/>
  <c r="F44" i="8"/>
  <c r="F28" i="8"/>
  <c r="F12" i="8"/>
  <c r="F59" i="8"/>
  <c r="F43" i="8"/>
  <c r="F27" i="8"/>
  <c r="F11" i="8"/>
  <c r="F58" i="8"/>
  <c r="G58" i="8" s="1"/>
  <c r="F42" i="8"/>
  <c r="G42" i="8" s="1"/>
  <c r="F26" i="8"/>
  <c r="F10" i="8"/>
  <c r="F14" i="8"/>
  <c r="F57" i="8"/>
  <c r="F41" i="8"/>
  <c r="G41" i="8" s="1"/>
  <c r="F25" i="8"/>
  <c r="F9" i="8"/>
  <c r="F62" i="8"/>
  <c r="F56" i="8"/>
  <c r="G56" i="8" s="1"/>
  <c r="F40" i="8"/>
  <c r="F24" i="8"/>
  <c r="F8" i="8"/>
  <c r="F71" i="8"/>
  <c r="F55" i="8"/>
  <c r="F39" i="8"/>
  <c r="F23" i="8"/>
  <c r="G23" i="8" s="1"/>
  <c r="E69" i="8"/>
  <c r="E68" i="8"/>
  <c r="E71" i="8"/>
  <c r="E70" i="8"/>
  <c r="E7" i="8"/>
  <c r="G7" i="8" s="1"/>
  <c r="E52" i="8"/>
  <c r="E18" i="8"/>
  <c r="E51" i="8"/>
  <c r="E17" i="8"/>
  <c r="G17" i="8" s="1"/>
  <c r="E41" i="8"/>
  <c r="E6" i="8"/>
  <c r="E11" i="8"/>
  <c r="E40" i="8"/>
  <c r="G40" i="8" s="1"/>
  <c r="E5" i="8"/>
  <c r="E67" i="8"/>
  <c r="E16" i="8"/>
  <c r="E15" i="8"/>
  <c r="G15" i="8" s="1"/>
  <c r="E31" i="8"/>
  <c r="E64" i="8"/>
  <c r="G64" i="8" s="1"/>
  <c r="E47" i="8"/>
  <c r="G47" i="8" s="1"/>
  <c r="E30" i="8"/>
  <c r="E13" i="8"/>
  <c r="E33" i="8"/>
  <c r="G33" i="8" s="1"/>
  <c r="E49" i="8"/>
  <c r="E48" i="8"/>
  <c r="G48" i="8" s="1"/>
  <c r="E63" i="8"/>
  <c r="E46" i="8"/>
  <c r="E29" i="8"/>
  <c r="E10" i="8"/>
  <c r="E66" i="8"/>
  <c r="G66" i="8" s="1"/>
  <c r="E62" i="8"/>
  <c r="E45" i="8"/>
  <c r="E28" i="8"/>
  <c r="E9" i="8"/>
  <c r="E50" i="8"/>
  <c r="E32" i="8"/>
  <c r="G32" i="8" s="1"/>
  <c r="E65" i="8"/>
  <c r="E14" i="8"/>
  <c r="E61" i="8"/>
  <c r="E44" i="8"/>
  <c r="E26" i="8"/>
  <c r="E8" i="8"/>
  <c r="E60" i="8"/>
  <c r="E42" i="8"/>
  <c r="E25" i="8"/>
  <c r="E12" i="8"/>
  <c r="E59" i="8"/>
  <c r="E43" i="8"/>
  <c r="G43" i="8" s="1"/>
  <c r="E27" i="8"/>
  <c r="G70" i="8"/>
  <c r="E108" i="7"/>
  <c r="E107" i="7"/>
  <c r="E89" i="7"/>
  <c r="E100" i="7"/>
  <c r="E53" i="7"/>
  <c r="E6" i="7"/>
  <c r="F22" i="7"/>
  <c r="E3" i="7"/>
  <c r="F6" i="7"/>
  <c r="G6" i="7" s="1"/>
  <c r="E62" i="7"/>
  <c r="F5" i="7"/>
  <c r="E60" i="7"/>
  <c r="F39" i="7"/>
  <c r="E43" i="7"/>
  <c r="E10" i="7"/>
  <c r="F72" i="7"/>
  <c r="F24" i="7"/>
  <c r="E26" i="7"/>
  <c r="F37" i="7"/>
  <c r="F10" i="7"/>
  <c r="F20" i="7"/>
  <c r="E98" i="7"/>
  <c r="E82" i="7"/>
  <c r="E66" i="7"/>
  <c r="E50" i="7"/>
  <c r="G50" i="7" s="1"/>
  <c r="E34" i="7"/>
  <c r="E96" i="7"/>
  <c r="F9" i="7"/>
  <c r="F7" i="7"/>
  <c r="E110" i="7"/>
  <c r="E46" i="7"/>
  <c r="E102" i="7"/>
  <c r="E92" i="7"/>
  <c r="E44" i="7"/>
  <c r="E28" i="7"/>
  <c r="E101" i="7"/>
  <c r="F73" i="7"/>
  <c r="F25" i="7"/>
  <c r="E91" i="7"/>
  <c r="E27" i="7"/>
  <c r="F38" i="7"/>
  <c r="E106" i="7"/>
  <c r="E5" i="7"/>
  <c r="G5" i="7" s="1"/>
  <c r="F71" i="7"/>
  <c r="F55" i="7"/>
  <c r="E88" i="7"/>
  <c r="E73" i="7"/>
  <c r="E25" i="7"/>
  <c r="G25" i="7" s="1"/>
  <c r="E9" i="7"/>
  <c r="F70" i="7"/>
  <c r="F36" i="7"/>
  <c r="E97" i="7"/>
  <c r="E81" i="7"/>
  <c r="E65" i="7"/>
  <c r="E49" i="7"/>
  <c r="E17" i="7"/>
  <c r="F8" i="7"/>
  <c r="E109" i="7"/>
  <c r="E93" i="7"/>
  <c r="E61" i="7"/>
  <c r="E45" i="7"/>
  <c r="E29" i="7"/>
  <c r="E2" i="7"/>
  <c r="F4" i="7"/>
  <c r="F105" i="7"/>
  <c r="F69" i="7"/>
  <c r="F23" i="7"/>
  <c r="F104" i="7"/>
  <c r="F68" i="7"/>
  <c r="G68" i="7" s="1"/>
  <c r="F103" i="7"/>
  <c r="F57" i="7"/>
  <c r="F21" i="7"/>
  <c r="F102" i="7"/>
  <c r="F56" i="7"/>
  <c r="F101" i="7"/>
  <c r="F100" i="7"/>
  <c r="F54" i="7"/>
  <c r="F88" i="7"/>
  <c r="G88" i="7" s="1"/>
  <c r="F53" i="7"/>
  <c r="F87" i="7"/>
  <c r="F52" i="7"/>
  <c r="F90" i="7"/>
  <c r="F41" i="7"/>
  <c r="F86" i="7"/>
  <c r="F40" i="7"/>
  <c r="F85" i="7"/>
  <c r="F84" i="7"/>
  <c r="F99" i="7"/>
  <c r="F51" i="7"/>
  <c r="F19" i="7"/>
  <c r="F18" i="7"/>
  <c r="F97" i="7"/>
  <c r="F33" i="7"/>
  <c r="F80" i="7"/>
  <c r="F64" i="7"/>
  <c r="F95" i="7"/>
  <c r="F79" i="7"/>
  <c r="F63" i="7"/>
  <c r="F47" i="7"/>
  <c r="F31" i="7"/>
  <c r="F15" i="7"/>
  <c r="F83" i="7"/>
  <c r="F3" i="7"/>
  <c r="F50" i="7"/>
  <c r="F65" i="7"/>
  <c r="G65" i="7" s="1"/>
  <c r="F17" i="7"/>
  <c r="G17" i="7" s="1"/>
  <c r="F96" i="7"/>
  <c r="G96" i="7" s="1"/>
  <c r="F32" i="7"/>
  <c r="F110" i="7"/>
  <c r="F94" i="7"/>
  <c r="F78" i="7"/>
  <c r="F62" i="7"/>
  <c r="G62" i="7" s="1"/>
  <c r="F46" i="7"/>
  <c r="F30" i="7"/>
  <c r="F14" i="7"/>
  <c r="F67" i="7"/>
  <c r="F35" i="7"/>
  <c r="F98" i="7"/>
  <c r="G98" i="7" s="1"/>
  <c r="F34" i="7"/>
  <c r="F2" i="7"/>
  <c r="F81" i="7"/>
  <c r="F49" i="7"/>
  <c r="F48" i="7"/>
  <c r="F109" i="7"/>
  <c r="G109" i="7" s="1"/>
  <c r="F93" i="7"/>
  <c r="F77" i="7"/>
  <c r="G77" i="7" s="1"/>
  <c r="F61" i="7"/>
  <c r="F45" i="7"/>
  <c r="G45" i="7" s="1"/>
  <c r="F29" i="7"/>
  <c r="F13" i="7"/>
  <c r="F66" i="7"/>
  <c r="F108" i="7"/>
  <c r="F92" i="7"/>
  <c r="G92" i="7" s="1"/>
  <c r="F76" i="7"/>
  <c r="F60" i="7"/>
  <c r="F44" i="7"/>
  <c r="F28" i="7"/>
  <c r="F12" i="7"/>
  <c r="F82" i="7"/>
  <c r="F107" i="7"/>
  <c r="F91" i="7"/>
  <c r="G91" i="7" s="1"/>
  <c r="F75" i="7"/>
  <c r="F59" i="7"/>
  <c r="F43" i="7"/>
  <c r="F27" i="7"/>
  <c r="F11" i="7"/>
  <c r="F16" i="7"/>
  <c r="F106" i="7"/>
  <c r="F89" i="7"/>
  <c r="F74" i="7"/>
  <c r="F58" i="7"/>
  <c r="F42" i="7"/>
  <c r="F26" i="7"/>
  <c r="E54" i="7"/>
  <c r="E36" i="7"/>
  <c r="E18" i="7"/>
  <c r="E105" i="7"/>
  <c r="E78" i="7"/>
  <c r="E69" i="7"/>
  <c r="G69" i="7" s="1"/>
  <c r="E51" i="7"/>
  <c r="E42" i="7"/>
  <c r="E33" i="7"/>
  <c r="E14" i="7"/>
  <c r="G14" i="7" s="1"/>
  <c r="E104" i="7"/>
  <c r="E86" i="7"/>
  <c r="E77" i="7"/>
  <c r="E68" i="7"/>
  <c r="E59" i="7"/>
  <c r="E41" i="7"/>
  <c r="E22" i="7"/>
  <c r="E13" i="7"/>
  <c r="E4" i="7"/>
  <c r="E7" i="7"/>
  <c r="G7" i="7" s="1"/>
  <c r="E94" i="7"/>
  <c r="G94" i="7" s="1"/>
  <c r="E85" i="7"/>
  <c r="E76" i="7"/>
  <c r="E67" i="7"/>
  <c r="E58" i="7"/>
  <c r="E30" i="7"/>
  <c r="E21" i="7"/>
  <c r="E12" i="7"/>
  <c r="E99" i="7"/>
  <c r="G99" i="7" s="1"/>
  <c r="E35" i="7"/>
  <c r="E84" i="7"/>
  <c r="E75" i="7"/>
  <c r="E57" i="7"/>
  <c r="E38" i="7"/>
  <c r="G38" i="7" s="1"/>
  <c r="E20" i="7"/>
  <c r="E11" i="7"/>
  <c r="E83" i="7"/>
  <c r="E74" i="7"/>
  <c r="E37" i="7"/>
  <c r="E19" i="7"/>
  <c r="E70" i="7"/>
  <c r="E52" i="7"/>
  <c r="G52" i="7" s="1"/>
  <c r="E87" i="7"/>
  <c r="E80" i="7"/>
  <c r="E72" i="7"/>
  <c r="E64" i="7"/>
  <c r="E56" i="7"/>
  <c r="E48" i="7"/>
  <c r="G48" i="7" s="1"/>
  <c r="E40" i="7"/>
  <c r="E32" i="7"/>
  <c r="E24" i="7"/>
  <c r="E16" i="7"/>
  <c r="E8" i="7"/>
  <c r="G8" i="7" s="1"/>
  <c r="E103" i="7"/>
  <c r="E95" i="7"/>
  <c r="E90" i="7"/>
  <c r="E79" i="7"/>
  <c r="E71" i="7"/>
  <c r="E63" i="7"/>
  <c r="E55" i="7"/>
  <c r="E47" i="7"/>
  <c r="E39" i="7"/>
  <c r="E31" i="7"/>
  <c r="E23" i="7"/>
  <c r="E15" i="7"/>
  <c r="F47" i="6"/>
  <c r="F49" i="6"/>
  <c r="F224" i="6"/>
  <c r="F48" i="6"/>
  <c r="F222" i="6"/>
  <c r="F221" i="6"/>
  <c r="F210" i="6"/>
  <c r="F194" i="6"/>
  <c r="F82" i="6"/>
  <c r="F34" i="6"/>
  <c r="F81" i="6"/>
  <c r="F223" i="6"/>
  <c r="F146" i="6"/>
  <c r="F114" i="6"/>
  <c r="F98" i="6"/>
  <c r="F66" i="6"/>
  <c r="F18" i="6"/>
  <c r="F219" i="6"/>
  <c r="F119" i="6"/>
  <c r="F2" i="6"/>
  <c r="F193" i="6"/>
  <c r="F145" i="6"/>
  <c r="F113" i="6"/>
  <c r="F97" i="6"/>
  <c r="F65" i="6"/>
  <c r="F17" i="6"/>
  <c r="F190" i="6"/>
  <c r="F118" i="6"/>
  <c r="F192" i="6"/>
  <c r="F144" i="6"/>
  <c r="F112" i="6"/>
  <c r="F96" i="6"/>
  <c r="F80" i="6"/>
  <c r="F64" i="6"/>
  <c r="F16" i="6"/>
  <c r="F117" i="6"/>
  <c r="F191" i="6"/>
  <c r="F159" i="6"/>
  <c r="F127" i="6"/>
  <c r="F95" i="6"/>
  <c r="F79" i="6"/>
  <c r="F63" i="6"/>
  <c r="F15" i="6"/>
  <c r="F188" i="6"/>
  <c r="F86" i="6"/>
  <c r="F158" i="6"/>
  <c r="F126" i="6"/>
  <c r="F94" i="6"/>
  <c r="F78" i="6"/>
  <c r="F46" i="6"/>
  <c r="F14" i="6"/>
  <c r="F187" i="6"/>
  <c r="F85" i="6"/>
  <c r="G85" i="6" s="1"/>
  <c r="F205" i="6"/>
  <c r="F141" i="6"/>
  <c r="F125" i="6"/>
  <c r="F109" i="6"/>
  <c r="F93" i="6"/>
  <c r="F29" i="6"/>
  <c r="F83" i="6"/>
  <c r="F204" i="6"/>
  <c r="F172" i="6"/>
  <c r="F185" i="6"/>
  <c r="F156" i="6"/>
  <c r="F71" i="6"/>
  <c r="F154" i="6"/>
  <c r="F153" i="6"/>
  <c r="G153" i="6" s="1"/>
  <c r="F152" i="6"/>
  <c r="F37" i="6"/>
  <c r="F178" i="6"/>
  <c r="F130" i="6"/>
  <c r="F209" i="6"/>
  <c r="F161" i="6"/>
  <c r="F129" i="6"/>
  <c r="F33" i="6"/>
  <c r="F176" i="6"/>
  <c r="F128" i="6"/>
  <c r="F189" i="6"/>
  <c r="F207" i="6"/>
  <c r="F143" i="6"/>
  <c r="F111" i="6"/>
  <c r="F31" i="6"/>
  <c r="F174" i="6"/>
  <c r="F142" i="6"/>
  <c r="F110" i="6"/>
  <c r="F30" i="6"/>
  <c r="F173" i="6"/>
  <c r="F45" i="6"/>
  <c r="F186" i="6"/>
  <c r="G186" i="6" s="1"/>
  <c r="F155" i="6"/>
  <c r="F151" i="6"/>
  <c r="F122" i="6"/>
  <c r="F35" i="6"/>
  <c r="F162" i="6"/>
  <c r="F50" i="6"/>
  <c r="F225" i="6"/>
  <c r="F177" i="6"/>
  <c r="F208" i="6"/>
  <c r="F160" i="6"/>
  <c r="F32" i="6"/>
  <c r="F175" i="6"/>
  <c r="F206" i="6"/>
  <c r="F62" i="6"/>
  <c r="F157" i="6"/>
  <c r="G157" i="6" s="1"/>
  <c r="F77" i="6"/>
  <c r="G77" i="6" s="1"/>
  <c r="F218" i="6"/>
  <c r="F121" i="6"/>
  <c r="F140" i="6"/>
  <c r="F92" i="6"/>
  <c r="F12" i="6"/>
  <c r="F90" i="6"/>
  <c r="F61" i="6"/>
  <c r="F184" i="6"/>
  <c r="F150" i="6"/>
  <c r="F115" i="6"/>
  <c r="F70" i="6"/>
  <c r="G70" i="6" s="1"/>
  <c r="F124" i="6"/>
  <c r="F108" i="6"/>
  <c r="F76" i="6"/>
  <c r="F60" i="6"/>
  <c r="F28" i="6"/>
  <c r="F217" i="6"/>
  <c r="F148" i="6"/>
  <c r="F105" i="6"/>
  <c r="F69" i="6"/>
  <c r="F123" i="6"/>
  <c r="F107" i="6"/>
  <c r="F91" i="6"/>
  <c r="F75" i="6"/>
  <c r="F59" i="6"/>
  <c r="F43" i="6"/>
  <c r="F27" i="6"/>
  <c r="F11" i="6"/>
  <c r="F139" i="6"/>
  <c r="F104" i="6"/>
  <c r="F67" i="6"/>
  <c r="F106" i="6"/>
  <c r="F74" i="6"/>
  <c r="F58" i="6"/>
  <c r="F42" i="6"/>
  <c r="F10" i="6"/>
  <c r="F138" i="6"/>
  <c r="F103" i="6"/>
  <c r="F88" i="6"/>
  <c r="F73" i="6"/>
  <c r="F57" i="6"/>
  <c r="F41" i="6"/>
  <c r="F25" i="6"/>
  <c r="F9" i="6"/>
  <c r="F171" i="6"/>
  <c r="F102" i="6"/>
  <c r="F19" i="6"/>
  <c r="F72" i="6"/>
  <c r="F56" i="6"/>
  <c r="F40" i="6"/>
  <c r="F24" i="6"/>
  <c r="F170" i="6"/>
  <c r="F136" i="6"/>
  <c r="F101" i="6"/>
  <c r="F55" i="6"/>
  <c r="F39" i="6"/>
  <c r="F23" i="6"/>
  <c r="F7" i="6"/>
  <c r="F203" i="6"/>
  <c r="F169" i="6"/>
  <c r="F135" i="6"/>
  <c r="F99" i="6"/>
  <c r="F54" i="6"/>
  <c r="F38" i="6"/>
  <c r="G38" i="6" s="1"/>
  <c r="F22" i="6"/>
  <c r="F4" i="6"/>
  <c r="F202" i="6"/>
  <c r="F168" i="6"/>
  <c r="F134" i="6"/>
  <c r="F53" i="6"/>
  <c r="F201" i="6"/>
  <c r="F167" i="6"/>
  <c r="F133" i="6"/>
  <c r="F89" i="6"/>
  <c r="F51" i="6"/>
  <c r="F44" i="6"/>
  <c r="F183" i="6"/>
  <c r="F26" i="6"/>
  <c r="F137" i="6"/>
  <c r="F8" i="6"/>
  <c r="F200" i="6"/>
  <c r="F166" i="6"/>
  <c r="F132" i="6"/>
  <c r="F87" i="6"/>
  <c r="F216" i="6"/>
  <c r="F199" i="6"/>
  <c r="F182" i="6"/>
  <c r="F165" i="6"/>
  <c r="F147" i="6"/>
  <c r="F215" i="6"/>
  <c r="F198" i="6"/>
  <c r="G198" i="6" s="1"/>
  <c r="F181" i="6"/>
  <c r="F163" i="6"/>
  <c r="F214" i="6"/>
  <c r="F197" i="6"/>
  <c r="G197" i="6" s="1"/>
  <c r="F179" i="6"/>
  <c r="G179" i="6" s="1"/>
  <c r="F213" i="6"/>
  <c r="F195" i="6"/>
  <c r="F211" i="6"/>
  <c r="F6" i="6"/>
  <c r="F5" i="6"/>
  <c r="F21" i="6"/>
  <c r="F3" i="6"/>
  <c r="F212" i="6"/>
  <c r="F196" i="6"/>
  <c r="F180" i="6"/>
  <c r="F164" i="6"/>
  <c r="F149" i="6"/>
  <c r="F131" i="6"/>
  <c r="F116" i="6"/>
  <c r="G116" i="6" s="1"/>
  <c r="F100" i="6"/>
  <c r="F84" i="6"/>
  <c r="G84" i="6" s="1"/>
  <c r="F68" i="6"/>
  <c r="F52" i="6"/>
  <c r="F36" i="6"/>
  <c r="F20" i="6"/>
  <c r="E3" i="6"/>
  <c r="E196" i="6"/>
  <c r="E21" i="6"/>
  <c r="G21" i="6" s="1"/>
  <c r="E85" i="6"/>
  <c r="E38" i="6"/>
  <c r="E84" i="6"/>
  <c r="E211" i="6"/>
  <c r="E139" i="6"/>
  <c r="G139" i="6" s="1"/>
  <c r="E93" i="6"/>
  <c r="E92" i="6"/>
  <c r="E27" i="6"/>
  <c r="G27" i="6" s="1"/>
  <c r="E63" i="6"/>
  <c r="E146" i="6"/>
  <c r="E100" i="6"/>
  <c r="E7" i="6"/>
  <c r="E164" i="6"/>
  <c r="E62" i="6"/>
  <c r="E217" i="6"/>
  <c r="E209" i="6"/>
  <c r="E190" i="6"/>
  <c r="E172" i="6"/>
  <c r="E154" i="6"/>
  <c r="E145" i="6"/>
  <c r="E136" i="6"/>
  <c r="E117" i="6"/>
  <c r="E108" i="6"/>
  <c r="E99" i="6"/>
  <c r="G99" i="6" s="1"/>
  <c r="E90" i="6"/>
  <c r="E52" i="6"/>
  <c r="E43" i="6"/>
  <c r="E24" i="6"/>
  <c r="G24" i="6" s="1"/>
  <c r="E15" i="6"/>
  <c r="E160" i="6"/>
  <c r="E114" i="6"/>
  <c r="G114" i="6" s="1"/>
  <c r="E2" i="6"/>
  <c r="E187" i="6"/>
  <c r="E47" i="6"/>
  <c r="G47" i="6" s="1"/>
  <c r="E212" i="6"/>
  <c r="G212" i="6" s="1"/>
  <c r="E132" i="6"/>
  <c r="E67" i="6"/>
  <c r="E203" i="6"/>
  <c r="E158" i="6"/>
  <c r="E112" i="6"/>
  <c r="E193" i="6"/>
  <c r="G193" i="6" s="1"/>
  <c r="E120" i="6"/>
  <c r="G120" i="6" s="1"/>
  <c r="E8" i="6"/>
  <c r="E210" i="6"/>
  <c r="E173" i="6"/>
  <c r="E44" i="6"/>
  <c r="E181" i="6"/>
  <c r="E79" i="6"/>
  <c r="E70" i="6"/>
  <c r="E61" i="6"/>
  <c r="E6" i="6"/>
  <c r="E195" i="6"/>
  <c r="G195" i="6" s="1"/>
  <c r="E113" i="6"/>
  <c r="E166" i="6"/>
  <c r="E9" i="6"/>
  <c r="G9" i="6" s="1"/>
  <c r="E219" i="6"/>
  <c r="G219" i="6" s="1"/>
  <c r="E174" i="6"/>
  <c r="G174" i="6" s="1"/>
  <c r="E54" i="6"/>
  <c r="G54" i="6" s="1"/>
  <c r="E165" i="6"/>
  <c r="E53" i="6"/>
  <c r="E225" i="6"/>
  <c r="E198" i="6"/>
  <c r="E189" i="6"/>
  <c r="G189" i="6" s="1"/>
  <c r="E171" i="6"/>
  <c r="G171" i="6" s="1"/>
  <c r="E153" i="6"/>
  <c r="E144" i="6"/>
  <c r="E135" i="6"/>
  <c r="E116" i="6"/>
  <c r="E107" i="6"/>
  <c r="E98" i="6"/>
  <c r="E51" i="6"/>
  <c r="G51" i="6" s="1"/>
  <c r="E32" i="6"/>
  <c r="G32" i="6" s="1"/>
  <c r="E23" i="6"/>
  <c r="G23" i="6" s="1"/>
  <c r="E223" i="6"/>
  <c r="E131" i="6"/>
  <c r="E39" i="6"/>
  <c r="E140" i="6"/>
  <c r="E75" i="6"/>
  <c r="G75" i="6" s="1"/>
  <c r="E130" i="6"/>
  <c r="E28" i="6"/>
  <c r="E157" i="6"/>
  <c r="E17" i="6"/>
  <c r="E201" i="6"/>
  <c r="E109" i="6"/>
  <c r="E71" i="6"/>
  <c r="E216" i="6"/>
  <c r="E180" i="6"/>
  <c r="G180" i="6" s="1"/>
  <c r="E161" i="6"/>
  <c r="E124" i="6"/>
  <c r="G124" i="6" s="1"/>
  <c r="E78" i="6"/>
  <c r="G78" i="6" s="1"/>
  <c r="E69" i="6"/>
  <c r="E60" i="6"/>
  <c r="E14" i="6"/>
  <c r="E105" i="6"/>
  <c r="E30" i="6"/>
  <c r="G30" i="6" s="1"/>
  <c r="E204" i="6"/>
  <c r="G204" i="6" s="1"/>
  <c r="E151" i="6"/>
  <c r="E159" i="6"/>
  <c r="E94" i="6"/>
  <c r="E20" i="6"/>
  <c r="E46" i="6"/>
  <c r="E175" i="6"/>
  <c r="E121" i="6"/>
  <c r="E55" i="6"/>
  <c r="E74" i="6"/>
  <c r="E202" i="6"/>
  <c r="E138" i="6"/>
  <c r="E101" i="6"/>
  <c r="E45" i="6"/>
  <c r="E218" i="6"/>
  <c r="E182" i="6"/>
  <c r="E137" i="6"/>
  <c r="E91" i="6"/>
  <c r="E16" i="6"/>
  <c r="G16" i="6" s="1"/>
  <c r="E224" i="6"/>
  <c r="E197" i="6"/>
  <c r="E188" i="6"/>
  <c r="E152" i="6"/>
  <c r="G152" i="6" s="1"/>
  <c r="E143" i="6"/>
  <c r="E115" i="6"/>
  <c r="E106" i="6"/>
  <c r="G106" i="6" s="1"/>
  <c r="E97" i="6"/>
  <c r="G97" i="6" s="1"/>
  <c r="E40" i="6"/>
  <c r="G40" i="6" s="1"/>
  <c r="E31" i="6"/>
  <c r="E22" i="6"/>
  <c r="E168" i="6"/>
  <c r="G168" i="6" s="1"/>
  <c r="E123" i="6"/>
  <c r="G123" i="6" s="1"/>
  <c r="E68" i="6"/>
  <c r="E76" i="6"/>
  <c r="E167" i="6"/>
  <c r="E122" i="6"/>
  <c r="E29" i="6"/>
  <c r="E186" i="6"/>
  <c r="E194" i="6"/>
  <c r="E102" i="6"/>
  <c r="G102" i="6" s="1"/>
  <c r="E37" i="6"/>
  <c r="G37" i="6" s="1"/>
  <c r="E83" i="6"/>
  <c r="E147" i="6"/>
  <c r="G147" i="6" s="1"/>
  <c r="E129" i="6"/>
  <c r="E36" i="6"/>
  <c r="G36" i="6" s="1"/>
  <c r="E82" i="6"/>
  <c r="E128" i="6"/>
  <c r="G128" i="6" s="1"/>
  <c r="E35" i="6"/>
  <c r="G35" i="6" s="1"/>
  <c r="E205" i="6"/>
  <c r="E179" i="6"/>
  <c r="E86" i="6"/>
  <c r="E77" i="6"/>
  <c r="E59" i="6"/>
  <c r="E13" i="6"/>
  <c r="G13" i="6" s="1"/>
  <c r="E208" i="6"/>
  <c r="G208" i="6" s="1"/>
  <c r="E185" i="6"/>
  <c r="E150" i="6"/>
  <c r="G150" i="6" s="1"/>
  <c r="E127" i="6"/>
  <c r="E66" i="6"/>
  <c r="E50" i="6"/>
  <c r="E5" i="6"/>
  <c r="E200" i="6"/>
  <c r="E192" i="6"/>
  <c r="G192" i="6" s="1"/>
  <c r="E170" i="6"/>
  <c r="G170" i="6" s="1"/>
  <c r="E163" i="6"/>
  <c r="E156" i="6"/>
  <c r="E134" i="6"/>
  <c r="E119" i="6"/>
  <c r="G119" i="6" s="1"/>
  <c r="E111" i="6"/>
  <c r="G111" i="6" s="1"/>
  <c r="E104" i="6"/>
  <c r="E81" i="6"/>
  <c r="E73" i="6"/>
  <c r="G73" i="6" s="1"/>
  <c r="E42" i="6"/>
  <c r="E34" i="6"/>
  <c r="E19" i="6"/>
  <c r="G19" i="6" s="1"/>
  <c r="E221" i="6"/>
  <c r="G221" i="6" s="1"/>
  <c r="E214" i="6"/>
  <c r="E207" i="6"/>
  <c r="E184" i="6"/>
  <c r="E177" i="6"/>
  <c r="E148" i="6"/>
  <c r="E126" i="6"/>
  <c r="E96" i="6"/>
  <c r="E89" i="6"/>
  <c r="G89" i="6" s="1"/>
  <c r="E65" i="6"/>
  <c r="E57" i="6"/>
  <c r="G57" i="6" s="1"/>
  <c r="E49" i="6"/>
  <c r="G49" i="6" s="1"/>
  <c r="E26" i="6"/>
  <c r="G26" i="6" s="1"/>
  <c r="E11" i="6"/>
  <c r="G11" i="6" s="1"/>
  <c r="E4" i="6"/>
  <c r="E222" i="6"/>
  <c r="G222" i="6" s="1"/>
  <c r="E88" i="6"/>
  <c r="E199" i="6"/>
  <c r="E191" i="6"/>
  <c r="E169" i="6"/>
  <c r="E141" i="6"/>
  <c r="E133" i="6"/>
  <c r="E118" i="6"/>
  <c r="E110" i="6"/>
  <c r="E103" i="6"/>
  <c r="E80" i="6"/>
  <c r="G80" i="6" s="1"/>
  <c r="E72" i="6"/>
  <c r="E41" i="6"/>
  <c r="G41" i="6" s="1"/>
  <c r="E33" i="6"/>
  <c r="E18" i="6"/>
  <c r="G18" i="6" s="1"/>
  <c r="E215" i="6"/>
  <c r="G215" i="6" s="1"/>
  <c r="E178" i="6"/>
  <c r="G178" i="6" s="1"/>
  <c r="E142" i="6"/>
  <c r="E58" i="6"/>
  <c r="G58" i="6" s="1"/>
  <c r="E12" i="6"/>
  <c r="E220" i="6"/>
  <c r="G220" i="6" s="1"/>
  <c r="E213" i="6"/>
  <c r="E206" i="6"/>
  <c r="E183" i="6"/>
  <c r="E176" i="6"/>
  <c r="E162" i="6"/>
  <c r="E155" i="6"/>
  <c r="E149" i="6"/>
  <c r="G149" i="6" s="1"/>
  <c r="E125" i="6"/>
  <c r="E95" i="6"/>
  <c r="E87" i="6"/>
  <c r="E64" i="6"/>
  <c r="G64" i="6" s="1"/>
  <c r="E56" i="6"/>
  <c r="G56" i="6" s="1"/>
  <c r="E48" i="6"/>
  <c r="E25" i="6"/>
  <c r="E10" i="6"/>
  <c r="G10" i="6" s="1"/>
  <c r="E113" i="5"/>
  <c r="E53" i="5"/>
  <c r="E80" i="5"/>
  <c r="E119" i="5"/>
  <c r="F158" i="5"/>
  <c r="F116" i="5"/>
  <c r="F84" i="5"/>
  <c r="E158" i="5"/>
  <c r="E60" i="5"/>
  <c r="G60" i="5" s="1"/>
  <c r="E150" i="5"/>
  <c r="E16" i="5"/>
  <c r="F155" i="5"/>
  <c r="F43" i="5"/>
  <c r="E50" i="5"/>
  <c r="E39" i="5"/>
  <c r="G39" i="5" s="1"/>
  <c r="F174" i="5"/>
  <c r="F82" i="5"/>
  <c r="F51" i="5"/>
  <c r="E43" i="5"/>
  <c r="E13" i="5"/>
  <c r="F173" i="5"/>
  <c r="F71" i="5"/>
  <c r="F47" i="5"/>
  <c r="E105" i="5"/>
  <c r="E35" i="5"/>
  <c r="F172" i="5"/>
  <c r="F87" i="5"/>
  <c r="E188" i="5"/>
  <c r="E114" i="5"/>
  <c r="E163" i="5"/>
  <c r="E130" i="5"/>
  <c r="E57" i="5"/>
  <c r="E5" i="5"/>
  <c r="E83" i="5"/>
  <c r="F28" i="5"/>
  <c r="E147" i="5"/>
  <c r="F161" i="5"/>
  <c r="F77" i="5"/>
  <c r="E123" i="5"/>
  <c r="F81" i="5"/>
  <c r="E63" i="5"/>
  <c r="F160" i="5"/>
  <c r="E32" i="5"/>
  <c r="E189" i="5"/>
  <c r="E120" i="5"/>
  <c r="E51" i="5"/>
  <c r="E40" i="5"/>
  <c r="G40" i="5" s="1"/>
  <c r="E87" i="5"/>
  <c r="E94" i="5"/>
  <c r="F128" i="5"/>
  <c r="E169" i="5"/>
  <c r="E22" i="5"/>
  <c r="E55" i="5"/>
  <c r="E4" i="5"/>
  <c r="F123" i="5"/>
  <c r="F30" i="5"/>
  <c r="F121" i="5"/>
  <c r="F34" i="5"/>
  <c r="F3" i="5"/>
  <c r="F127" i="5"/>
  <c r="F120" i="5"/>
  <c r="F115" i="5"/>
  <c r="F73" i="5"/>
  <c r="F32" i="5"/>
  <c r="F157" i="5"/>
  <c r="F109" i="5"/>
  <c r="F65" i="5"/>
  <c r="F35" i="5"/>
  <c r="F152" i="5"/>
  <c r="F101" i="5"/>
  <c r="F60" i="5"/>
  <c r="F33" i="5"/>
  <c r="F191" i="5"/>
  <c r="F147" i="5"/>
  <c r="F105" i="5"/>
  <c r="F63" i="5"/>
  <c r="F21" i="5"/>
  <c r="F190" i="5"/>
  <c r="F150" i="5"/>
  <c r="F114" i="5"/>
  <c r="F66" i="5"/>
  <c r="F20" i="5"/>
  <c r="F189" i="5"/>
  <c r="F141" i="5"/>
  <c r="F96" i="5"/>
  <c r="F64" i="5"/>
  <c r="F18" i="5"/>
  <c r="F188" i="5"/>
  <c r="F142" i="5"/>
  <c r="F95" i="5"/>
  <c r="F61" i="5"/>
  <c r="F12" i="5"/>
  <c r="F175" i="5"/>
  <c r="F139" i="5"/>
  <c r="F98" i="5"/>
  <c r="F52" i="5"/>
  <c r="F15" i="5"/>
  <c r="F179" i="5"/>
  <c r="F138" i="5"/>
  <c r="F90" i="5"/>
  <c r="F54" i="5"/>
  <c r="F16" i="5"/>
  <c r="F177" i="5"/>
  <c r="F132" i="5"/>
  <c r="F97" i="5"/>
  <c r="F50" i="5"/>
  <c r="F2" i="5"/>
  <c r="F171" i="5"/>
  <c r="F104" i="5"/>
  <c r="F58" i="5"/>
  <c r="F169" i="5"/>
  <c r="F111" i="5"/>
  <c r="F159" i="5"/>
  <c r="F108" i="5"/>
  <c r="F27" i="5"/>
  <c r="F170" i="5"/>
  <c r="F124" i="5"/>
  <c r="F92" i="5"/>
  <c r="F55" i="5"/>
  <c r="F9" i="5"/>
  <c r="F183" i="5"/>
  <c r="F164" i="5"/>
  <c r="F156" i="5"/>
  <c r="F137" i="5"/>
  <c r="F118" i="5"/>
  <c r="F107" i="5"/>
  <c r="F89" i="5"/>
  <c r="F74" i="5"/>
  <c r="F53" i="5"/>
  <c r="F42" i="5"/>
  <c r="F25" i="5"/>
  <c r="F8" i="5"/>
  <c r="F143" i="5"/>
  <c r="F79" i="5"/>
  <c r="F13" i="5"/>
  <c r="F186" i="5"/>
  <c r="F122" i="5"/>
  <c r="F36" i="5"/>
  <c r="F168" i="5"/>
  <c r="F88" i="5"/>
  <c r="F10" i="5"/>
  <c r="F185" i="5"/>
  <c r="F130" i="5"/>
  <c r="F99" i="5"/>
  <c r="F69" i="5"/>
  <c r="F26" i="5"/>
  <c r="F180" i="5"/>
  <c r="F165" i="5"/>
  <c r="F151" i="5"/>
  <c r="F129" i="5"/>
  <c r="F119" i="5"/>
  <c r="F106" i="5"/>
  <c r="F91" i="5"/>
  <c r="F70" i="5"/>
  <c r="F57" i="5"/>
  <c r="F39" i="5"/>
  <c r="F23" i="5"/>
  <c r="F7" i="5"/>
  <c r="F93" i="5"/>
  <c r="F75" i="5"/>
  <c r="F154" i="5"/>
  <c r="F41" i="5"/>
  <c r="F182" i="5"/>
  <c r="F166" i="5"/>
  <c r="F146" i="5"/>
  <c r="F135" i="5"/>
  <c r="F113" i="5"/>
  <c r="F102" i="5"/>
  <c r="F76" i="5"/>
  <c r="F72" i="5"/>
  <c r="F46" i="5"/>
  <c r="F40" i="5"/>
  <c r="F22" i="5"/>
  <c r="F6" i="5"/>
  <c r="F5" i="5"/>
  <c r="F187" i="5"/>
  <c r="F125" i="5"/>
  <c r="F48" i="5"/>
  <c r="F136" i="5"/>
  <c r="F11" i="5"/>
  <c r="F140" i="5"/>
  <c r="F59" i="5"/>
  <c r="F181" i="5"/>
  <c r="F144" i="5"/>
  <c r="F112" i="5"/>
  <c r="F62" i="5"/>
  <c r="F14" i="5"/>
  <c r="F178" i="5"/>
  <c r="F163" i="5"/>
  <c r="F145" i="5"/>
  <c r="F134" i="5"/>
  <c r="F110" i="5"/>
  <c r="F94" i="5"/>
  <c r="F80" i="5"/>
  <c r="F68" i="5"/>
  <c r="F49" i="5"/>
  <c r="F37" i="5"/>
  <c r="F19" i="5"/>
  <c r="F4" i="5"/>
  <c r="F153" i="5"/>
  <c r="F86" i="5"/>
  <c r="F29" i="5"/>
  <c r="F149" i="5"/>
  <c r="F78" i="5"/>
  <c r="F24" i="5"/>
  <c r="F184" i="5"/>
  <c r="F126" i="5"/>
  <c r="F44" i="5"/>
  <c r="F167" i="5"/>
  <c r="F131" i="5"/>
  <c r="F100" i="5"/>
  <c r="F85" i="5"/>
  <c r="F56" i="5"/>
  <c r="F38" i="5"/>
  <c r="F176" i="5"/>
  <c r="F162" i="5"/>
  <c r="F148" i="5"/>
  <c r="F133" i="5"/>
  <c r="F117" i="5"/>
  <c r="F103" i="5"/>
  <c r="F83" i="5"/>
  <c r="F67" i="5"/>
  <c r="F45" i="5"/>
  <c r="F31" i="5"/>
  <c r="F17" i="5"/>
  <c r="E162" i="5"/>
  <c r="E69" i="5"/>
  <c r="G69" i="5" s="1"/>
  <c r="E182" i="5"/>
  <c r="G182" i="5" s="1"/>
  <c r="E86" i="5"/>
  <c r="E6" i="5"/>
  <c r="E149" i="5"/>
  <c r="E181" i="5"/>
  <c r="G181" i="5" s="1"/>
  <c r="E102" i="5"/>
  <c r="G102" i="5" s="1"/>
  <c r="E93" i="5"/>
  <c r="E159" i="5"/>
  <c r="E100" i="5"/>
  <c r="E140" i="5"/>
  <c r="E176" i="5"/>
  <c r="E154" i="5"/>
  <c r="E112" i="5"/>
  <c r="E3" i="5"/>
  <c r="E135" i="5"/>
  <c r="E81" i="5"/>
  <c r="E66" i="5"/>
  <c r="G66" i="5" s="1"/>
  <c r="E24" i="5"/>
  <c r="E175" i="5"/>
  <c r="E128" i="5"/>
  <c r="G128" i="5" s="1"/>
  <c r="E111" i="5"/>
  <c r="E21" i="5"/>
  <c r="E2" i="5"/>
  <c r="E131" i="5"/>
  <c r="G131" i="5" s="1"/>
  <c r="E89" i="5"/>
  <c r="E70" i="5"/>
  <c r="E56" i="5"/>
  <c r="E185" i="5"/>
  <c r="G185" i="5" s="1"/>
  <c r="E138" i="5"/>
  <c r="E117" i="5"/>
  <c r="E28" i="5"/>
  <c r="E164" i="5"/>
  <c r="E134" i="5"/>
  <c r="E98" i="5"/>
  <c r="E71" i="5"/>
  <c r="G71" i="5" s="1"/>
  <c r="E49" i="5"/>
  <c r="E20" i="5"/>
  <c r="G20" i="5" s="1"/>
  <c r="E177" i="5"/>
  <c r="G177" i="5" s="1"/>
  <c r="E144" i="5"/>
  <c r="G144" i="5" s="1"/>
  <c r="E122" i="5"/>
  <c r="E116" i="5"/>
  <c r="E30" i="5"/>
  <c r="E168" i="5"/>
  <c r="E141" i="5"/>
  <c r="E104" i="5"/>
  <c r="E38" i="5"/>
  <c r="E11" i="5"/>
  <c r="E161" i="5"/>
  <c r="E103" i="5"/>
  <c r="E74" i="5"/>
  <c r="E47" i="5"/>
  <c r="E184" i="5"/>
  <c r="E156" i="5"/>
  <c r="E110" i="5"/>
  <c r="E10" i="5"/>
  <c r="E155" i="5"/>
  <c r="E82" i="5"/>
  <c r="E64" i="5"/>
  <c r="E27" i="5"/>
  <c r="E179" i="5"/>
  <c r="G179" i="5" s="1"/>
  <c r="E125" i="5"/>
  <c r="E9" i="5"/>
  <c r="E160" i="5"/>
  <c r="E91" i="5"/>
  <c r="E72" i="5"/>
  <c r="E61" i="5"/>
  <c r="E26" i="5"/>
  <c r="G26" i="5" s="1"/>
  <c r="E183" i="5"/>
  <c r="E165" i="5"/>
  <c r="E143" i="5"/>
  <c r="E133" i="5"/>
  <c r="G133" i="5" s="1"/>
  <c r="E107" i="5"/>
  <c r="E90" i="5"/>
  <c r="E76" i="5"/>
  <c r="E73" i="5"/>
  <c r="E62" i="5"/>
  <c r="E58" i="5"/>
  <c r="E41" i="5"/>
  <c r="G41" i="5" s="1"/>
  <c r="E25" i="5"/>
  <c r="E8" i="5"/>
  <c r="E46" i="5"/>
  <c r="E48" i="5"/>
  <c r="E108" i="5"/>
  <c r="G108" i="5" s="1"/>
  <c r="E126" i="5"/>
  <c r="E34" i="5"/>
  <c r="E18" i="5"/>
  <c r="G18" i="5" s="1"/>
  <c r="E180" i="5"/>
  <c r="G180" i="5" s="1"/>
  <c r="E153" i="5"/>
  <c r="E136" i="5"/>
  <c r="E132" i="5"/>
  <c r="E106" i="5"/>
  <c r="E97" i="5"/>
  <c r="E85" i="5"/>
  <c r="E68" i="5"/>
  <c r="E54" i="5"/>
  <c r="E42" i="5"/>
  <c r="G42" i="5" s="1"/>
  <c r="E17" i="5"/>
  <c r="G17" i="5" s="1"/>
  <c r="E170" i="5"/>
  <c r="G170" i="5" s="1"/>
  <c r="E191" i="5"/>
  <c r="E174" i="5"/>
  <c r="E145" i="5"/>
  <c r="E190" i="5"/>
  <c r="E173" i="5"/>
  <c r="G173" i="5" s="1"/>
  <c r="E148" i="5"/>
  <c r="E101" i="5"/>
  <c r="E79" i="5"/>
  <c r="E23" i="5"/>
  <c r="G23" i="5" s="1"/>
  <c r="E187" i="5"/>
  <c r="E172" i="5"/>
  <c r="E166" i="5"/>
  <c r="E157" i="5"/>
  <c r="G157" i="5" s="1"/>
  <c r="E151" i="5"/>
  <c r="E137" i="5"/>
  <c r="E121" i="5"/>
  <c r="E124" i="5"/>
  <c r="G124" i="5" s="1"/>
  <c r="E115" i="5"/>
  <c r="E96" i="5"/>
  <c r="E88" i="5"/>
  <c r="E84" i="5"/>
  <c r="G84" i="5" s="1"/>
  <c r="E78" i="5"/>
  <c r="E33" i="5"/>
  <c r="E12" i="5"/>
  <c r="G12" i="5" s="1"/>
  <c r="E178" i="5"/>
  <c r="E142" i="5"/>
  <c r="E67" i="5"/>
  <c r="E45" i="5"/>
  <c r="E36" i="5"/>
  <c r="E37" i="5"/>
  <c r="E14" i="5"/>
  <c r="E7" i="5"/>
  <c r="E186" i="5"/>
  <c r="E167" i="5"/>
  <c r="E146" i="5"/>
  <c r="E129" i="5"/>
  <c r="E127" i="5"/>
  <c r="E118" i="5"/>
  <c r="E99" i="5"/>
  <c r="E95" i="5"/>
  <c r="E92" i="5"/>
  <c r="E75" i="5"/>
  <c r="E29" i="5"/>
  <c r="E15" i="5"/>
  <c r="G15" i="5" s="1"/>
  <c r="E171" i="5"/>
  <c r="E152" i="5"/>
  <c r="E139" i="5"/>
  <c r="E109" i="5"/>
  <c r="G109" i="5" s="1"/>
  <c r="E77" i="5"/>
  <c r="G77" i="5" s="1"/>
  <c r="E65" i="5"/>
  <c r="E59" i="5"/>
  <c r="E52" i="5"/>
  <c r="E44" i="5"/>
  <c r="E31" i="5"/>
  <c r="E19" i="5"/>
  <c r="F135" i="3"/>
  <c r="F103" i="3"/>
  <c r="F71" i="3"/>
  <c r="F240" i="3"/>
  <c r="F34" i="3"/>
  <c r="F177" i="3"/>
  <c r="F209" i="3"/>
  <c r="F258" i="3"/>
  <c r="F242" i="3"/>
  <c r="F226" i="3"/>
  <c r="F210" i="3"/>
  <c r="F178" i="3"/>
  <c r="F162" i="3"/>
  <c r="F130" i="3"/>
  <c r="F114" i="3"/>
  <c r="F98" i="3"/>
  <c r="F82" i="3"/>
  <c r="F50" i="3"/>
  <c r="F35" i="3"/>
  <c r="F69" i="3"/>
  <c r="F3" i="3"/>
  <c r="F257" i="3"/>
  <c r="F193" i="3"/>
  <c r="F161" i="3"/>
  <c r="F129" i="3"/>
  <c r="F65" i="3"/>
  <c r="F165" i="3"/>
  <c r="F132" i="3"/>
  <c r="F99" i="3"/>
  <c r="F24" i="3"/>
  <c r="F23" i="3"/>
  <c r="E133" i="3"/>
  <c r="G133" i="3" s="1"/>
  <c r="E101" i="3"/>
  <c r="G101" i="3" s="1"/>
  <c r="F22" i="3"/>
  <c r="E84" i="3"/>
  <c r="E54" i="3"/>
  <c r="F85" i="3"/>
  <c r="E180" i="3"/>
  <c r="E268" i="3"/>
  <c r="E156" i="3"/>
  <c r="F106" i="3"/>
  <c r="F74" i="3"/>
  <c r="F42" i="3"/>
  <c r="F20" i="3"/>
  <c r="F249" i="3"/>
  <c r="F137" i="3"/>
  <c r="F105" i="3"/>
  <c r="F115" i="3"/>
  <c r="F280" i="3"/>
  <c r="F248" i="3"/>
  <c r="F104" i="3"/>
  <c r="F72" i="3"/>
  <c r="F182" i="3"/>
  <c r="F279" i="3"/>
  <c r="F181" i="3"/>
  <c r="F278" i="3"/>
  <c r="F4" i="3"/>
  <c r="F113" i="3"/>
  <c r="F81" i="3"/>
  <c r="F48" i="3"/>
  <c r="F33" i="3"/>
  <c r="E245" i="3"/>
  <c r="E132" i="3"/>
  <c r="G132" i="3" s="1"/>
  <c r="E63" i="3"/>
  <c r="F250" i="3"/>
  <c r="F277" i="3"/>
  <c r="F73" i="3"/>
  <c r="F136" i="3"/>
  <c r="F234" i="3"/>
  <c r="F170" i="3"/>
  <c r="F102" i="3"/>
  <c r="F2" i="3"/>
  <c r="F233" i="3"/>
  <c r="F201" i="3"/>
  <c r="F133" i="3"/>
  <c r="F101" i="3"/>
  <c r="F232" i="3"/>
  <c r="F199" i="3"/>
  <c r="F131" i="3"/>
  <c r="F25" i="3"/>
  <c r="F262" i="3"/>
  <c r="F229" i="3"/>
  <c r="F228" i="3"/>
  <c r="F154" i="3"/>
  <c r="F54" i="3"/>
  <c r="F259" i="3"/>
  <c r="F153" i="3"/>
  <c r="F21" i="3"/>
  <c r="F84" i="3"/>
  <c r="F51" i="3"/>
  <c r="F276" i="3"/>
  <c r="F265" i="3"/>
  <c r="F264" i="3"/>
  <c r="F200" i="3"/>
  <c r="F164" i="3"/>
  <c r="F100" i="3"/>
  <c r="F58" i="3"/>
  <c r="F26" i="3"/>
  <c r="F231" i="3"/>
  <c r="F163" i="3"/>
  <c r="F55" i="3"/>
  <c r="F198" i="3"/>
  <c r="F57" i="3"/>
  <c r="F56" i="3"/>
  <c r="F260" i="3"/>
  <c r="F122" i="3"/>
  <c r="F185" i="3"/>
  <c r="F121" i="3"/>
  <c r="F53" i="3"/>
  <c r="F152" i="3"/>
  <c r="F52" i="3"/>
  <c r="F215" i="3"/>
  <c r="F183" i="3"/>
  <c r="F151" i="3"/>
  <c r="F83" i="3"/>
  <c r="F9" i="3"/>
  <c r="F214" i="3"/>
  <c r="F150" i="3"/>
  <c r="F8" i="3"/>
  <c r="F213" i="3"/>
  <c r="F149" i="3"/>
  <c r="F7" i="3"/>
  <c r="F212" i="3"/>
  <c r="F179" i="3"/>
  <c r="F6" i="3"/>
  <c r="F243" i="3"/>
  <c r="F211" i="3"/>
  <c r="F180" i="3"/>
  <c r="F37" i="3"/>
  <c r="F5" i="3"/>
  <c r="F202" i="3"/>
  <c r="F134" i="3"/>
  <c r="F263" i="3"/>
  <c r="F230" i="3"/>
  <c r="F261" i="3"/>
  <c r="F87" i="3"/>
  <c r="F186" i="3"/>
  <c r="F86" i="3"/>
  <c r="F227" i="3"/>
  <c r="F184" i="3"/>
  <c r="F120" i="3"/>
  <c r="F11" i="3"/>
  <c r="F148" i="3"/>
  <c r="F36" i="3"/>
  <c r="F273" i="3"/>
  <c r="F245" i="3"/>
  <c r="F217" i="3"/>
  <c r="F195" i="3"/>
  <c r="F167" i="3"/>
  <c r="F117" i="3"/>
  <c r="F89" i="3"/>
  <c r="F68" i="3"/>
  <c r="F39" i="3"/>
  <c r="F17" i="3"/>
  <c r="F275" i="3"/>
  <c r="F247" i="3"/>
  <c r="F225" i="3"/>
  <c r="F197" i="3"/>
  <c r="F169" i="3"/>
  <c r="F147" i="3"/>
  <c r="F119" i="3"/>
  <c r="F97" i="3"/>
  <c r="F70" i="3"/>
  <c r="F41" i="3"/>
  <c r="F19" i="3"/>
  <c r="F274" i="3"/>
  <c r="F246" i="3"/>
  <c r="F218" i="3"/>
  <c r="F196" i="3"/>
  <c r="F168" i="3"/>
  <c r="F146" i="3"/>
  <c r="F118" i="3"/>
  <c r="F90" i="3"/>
  <c r="F67" i="3"/>
  <c r="F40" i="3"/>
  <c r="F18" i="3"/>
  <c r="G18" i="3" s="1"/>
  <c r="F145" i="3"/>
  <c r="F266" i="3"/>
  <c r="F244" i="3"/>
  <c r="F216" i="3"/>
  <c r="F194" i="3"/>
  <c r="F166" i="3"/>
  <c r="F138" i="3"/>
  <c r="F116" i="3"/>
  <c r="F88" i="3"/>
  <c r="F66" i="3"/>
  <c r="F38" i="3"/>
  <c r="F10" i="3"/>
  <c r="F272" i="3"/>
  <c r="F256" i="3"/>
  <c r="F241" i="3"/>
  <c r="F224" i="3"/>
  <c r="F192" i="3"/>
  <c r="F176" i="3"/>
  <c r="F160" i="3"/>
  <c r="F144" i="3"/>
  <c r="F128" i="3"/>
  <c r="F112" i="3"/>
  <c r="F96" i="3"/>
  <c r="F80" i="3"/>
  <c r="F64" i="3"/>
  <c r="F49" i="3"/>
  <c r="F32" i="3"/>
  <c r="F16" i="3"/>
  <c r="F208" i="3"/>
  <c r="F271" i="3"/>
  <c r="F255" i="3"/>
  <c r="F239" i="3"/>
  <c r="F223" i="3"/>
  <c r="F207" i="3"/>
  <c r="F191" i="3"/>
  <c r="F175" i="3"/>
  <c r="F159" i="3"/>
  <c r="F143" i="3"/>
  <c r="F127" i="3"/>
  <c r="F111" i="3"/>
  <c r="F95" i="3"/>
  <c r="F79" i="3"/>
  <c r="F63" i="3"/>
  <c r="F47" i="3"/>
  <c r="F31" i="3"/>
  <c r="F15" i="3"/>
  <c r="F270" i="3"/>
  <c r="F254" i="3"/>
  <c r="F238" i="3"/>
  <c r="F222" i="3"/>
  <c r="F206" i="3"/>
  <c r="F190" i="3"/>
  <c r="F174" i="3"/>
  <c r="F158" i="3"/>
  <c r="F142" i="3"/>
  <c r="F126" i="3"/>
  <c r="F110" i="3"/>
  <c r="F94" i="3"/>
  <c r="F78" i="3"/>
  <c r="F62" i="3"/>
  <c r="F46" i="3"/>
  <c r="F30" i="3"/>
  <c r="F14" i="3"/>
  <c r="F269" i="3"/>
  <c r="F253" i="3"/>
  <c r="F237" i="3"/>
  <c r="F221" i="3"/>
  <c r="F205" i="3"/>
  <c r="F188" i="3"/>
  <c r="F173" i="3"/>
  <c r="F157" i="3"/>
  <c r="F141" i="3"/>
  <c r="F125" i="3"/>
  <c r="F109" i="3"/>
  <c r="F93" i="3"/>
  <c r="F77" i="3"/>
  <c r="F61" i="3"/>
  <c r="F45" i="3"/>
  <c r="F29" i="3"/>
  <c r="G29" i="3" s="1"/>
  <c r="F13" i="3"/>
  <c r="F268" i="3"/>
  <c r="F252" i="3"/>
  <c r="F236" i="3"/>
  <c r="F220" i="3"/>
  <c r="F204" i="3"/>
  <c r="F189" i="3"/>
  <c r="F172" i="3"/>
  <c r="F156" i="3"/>
  <c r="G156" i="3" s="1"/>
  <c r="F140" i="3"/>
  <c r="F124" i="3"/>
  <c r="F108" i="3"/>
  <c r="F92" i="3"/>
  <c r="F76" i="3"/>
  <c r="F60" i="3"/>
  <c r="F44" i="3"/>
  <c r="F28" i="3"/>
  <c r="F12" i="3"/>
  <c r="F267" i="3"/>
  <c r="F251" i="3"/>
  <c r="F235" i="3"/>
  <c r="F219" i="3"/>
  <c r="F203" i="3"/>
  <c r="F187" i="3"/>
  <c r="F171" i="3"/>
  <c r="F155" i="3"/>
  <c r="F139" i="3"/>
  <c r="F123" i="3"/>
  <c r="F107" i="3"/>
  <c r="F91" i="3"/>
  <c r="F75" i="3"/>
  <c r="F59" i="3"/>
  <c r="F43" i="3"/>
  <c r="F27" i="3"/>
  <c r="E149" i="3"/>
  <c r="E122" i="3"/>
  <c r="E32" i="3"/>
  <c r="E236" i="3"/>
  <c r="E187" i="3"/>
  <c r="E170" i="3"/>
  <c r="E125" i="3"/>
  <c r="E23" i="3"/>
  <c r="E131" i="3"/>
  <c r="E274" i="3"/>
  <c r="E221" i="3"/>
  <c r="E22" i="3"/>
  <c r="E224" i="3"/>
  <c r="E123" i="3"/>
  <c r="E78" i="3"/>
  <c r="E237" i="3"/>
  <c r="E246" i="3"/>
  <c r="G246" i="3" s="1"/>
  <c r="E124" i="3"/>
  <c r="E60" i="3"/>
  <c r="E91" i="3"/>
  <c r="E31" i="3"/>
  <c r="E47" i="3"/>
  <c r="E261" i="3"/>
  <c r="E229" i="3"/>
  <c r="E213" i="3"/>
  <c r="G213" i="3" s="1"/>
  <c r="E117" i="3"/>
  <c r="E169" i="3"/>
  <c r="E100" i="3"/>
  <c r="E276" i="3"/>
  <c r="G276" i="3" s="1"/>
  <c r="E260" i="3"/>
  <c r="G260" i="3" s="1"/>
  <c r="E179" i="3"/>
  <c r="G179" i="3" s="1"/>
  <c r="E164" i="3"/>
  <c r="E148" i="3"/>
  <c r="E116" i="3"/>
  <c r="G116" i="3" s="1"/>
  <c r="E267" i="3"/>
  <c r="E223" i="3"/>
  <c r="E209" i="3"/>
  <c r="E155" i="3"/>
  <c r="E163" i="3"/>
  <c r="E147" i="3"/>
  <c r="E115" i="3"/>
  <c r="E280" i="3"/>
  <c r="E9" i="3"/>
  <c r="E110" i="3"/>
  <c r="E8" i="3"/>
  <c r="E178" i="3"/>
  <c r="G178" i="3" s="1"/>
  <c r="E269" i="3"/>
  <c r="E92" i="3"/>
  <c r="E15" i="3"/>
  <c r="E25" i="3"/>
  <c r="E138" i="3"/>
  <c r="G138" i="3" s="1"/>
  <c r="E200" i="3"/>
  <c r="E146" i="3"/>
  <c r="E255" i="3"/>
  <c r="E85" i="3"/>
  <c r="E70" i="3"/>
  <c r="E53" i="3"/>
  <c r="E67" i="3"/>
  <c r="E61" i="3"/>
  <c r="E40" i="3"/>
  <c r="E30" i="3"/>
  <c r="G30" i="3" s="1"/>
  <c r="E266" i="3"/>
  <c r="E199" i="3"/>
  <c r="G199" i="3" s="1"/>
  <c r="E154" i="3"/>
  <c r="E7" i="3"/>
  <c r="G7" i="3" s="1"/>
  <c r="E230" i="3"/>
  <c r="E208" i="3"/>
  <c r="E186" i="3"/>
  <c r="E177" i="3"/>
  <c r="G177" i="3" s="1"/>
  <c r="E62" i="3"/>
  <c r="E39" i="3"/>
  <c r="E29" i="3"/>
  <c r="E17" i="3"/>
  <c r="G17" i="3" s="1"/>
  <c r="E141" i="3"/>
  <c r="E6" i="3"/>
  <c r="E252" i="3"/>
  <c r="E107" i="3"/>
  <c r="E71" i="3"/>
  <c r="E38" i="3"/>
  <c r="E16" i="3"/>
  <c r="E239" i="3"/>
  <c r="E216" i="3"/>
  <c r="E207" i="3"/>
  <c r="E185" i="3"/>
  <c r="E94" i="3"/>
  <c r="E262" i="3"/>
  <c r="E139" i="3"/>
  <c r="E69" i="3"/>
  <c r="E49" i="3"/>
  <c r="E37" i="3"/>
  <c r="E238" i="3"/>
  <c r="E215" i="3"/>
  <c r="E206" i="3"/>
  <c r="E194" i="3"/>
  <c r="E93" i="3"/>
  <c r="E2" i="3"/>
  <c r="G2" i="3" s="1"/>
  <c r="E214" i="3"/>
  <c r="E193" i="3"/>
  <c r="E247" i="3"/>
  <c r="E102" i="3"/>
  <c r="G102" i="3" s="1"/>
  <c r="E79" i="3"/>
  <c r="E254" i="3"/>
  <c r="E244" i="3"/>
  <c r="E222" i="3"/>
  <c r="E202" i="3"/>
  <c r="E172" i="3"/>
  <c r="E162" i="3"/>
  <c r="E109" i="3"/>
  <c r="E99" i="3"/>
  <c r="G99" i="3" s="1"/>
  <c r="E77" i="3"/>
  <c r="E46" i="3"/>
  <c r="E275" i="3"/>
  <c r="E140" i="3"/>
  <c r="E130" i="3"/>
  <c r="E56" i="3"/>
  <c r="G56" i="3" s="1"/>
  <c r="E24" i="3"/>
  <c r="E14" i="3"/>
  <c r="E253" i="3"/>
  <c r="E231" i="3"/>
  <c r="E201" i="3"/>
  <c r="E192" i="3"/>
  <c r="E171" i="3"/>
  <c r="E161" i="3"/>
  <c r="G161" i="3" s="1"/>
  <c r="E108" i="3"/>
  <c r="E86" i="3"/>
  <c r="G86" i="3" s="1"/>
  <c r="E76" i="3"/>
  <c r="E45" i="3"/>
  <c r="E75" i="3"/>
  <c r="E235" i="3"/>
  <c r="E106" i="3"/>
  <c r="G106" i="3" s="1"/>
  <c r="E279" i="3"/>
  <c r="E272" i="3"/>
  <c r="E258" i="3"/>
  <c r="E250" i="3"/>
  <c r="E227" i="3"/>
  <c r="E212" i="3"/>
  <c r="E205" i="3"/>
  <c r="E152" i="3"/>
  <c r="E144" i="3"/>
  <c r="E82" i="3"/>
  <c r="E74" i="3"/>
  <c r="G74" i="3" s="1"/>
  <c r="E66" i="3"/>
  <c r="E51" i="3"/>
  <c r="G51" i="3" s="1"/>
  <c r="E20" i="3"/>
  <c r="E259" i="3"/>
  <c r="E228" i="3"/>
  <c r="G228" i="3" s="1"/>
  <c r="E184" i="3"/>
  <c r="E153" i="3"/>
  <c r="G153" i="3" s="1"/>
  <c r="E114" i="3"/>
  <c r="E68" i="3"/>
  <c r="E21" i="3"/>
  <c r="G21" i="3" s="1"/>
  <c r="E265" i="3"/>
  <c r="E191" i="3"/>
  <c r="E160" i="3"/>
  <c r="E121" i="3"/>
  <c r="G121" i="3" s="1"/>
  <c r="E90" i="3"/>
  <c r="G90" i="3" s="1"/>
  <c r="E28" i="3"/>
  <c r="E5" i="3"/>
  <c r="E242" i="3"/>
  <c r="G242" i="3" s="1"/>
  <c r="E234" i="3"/>
  <c r="E219" i="3"/>
  <c r="E197" i="3"/>
  <c r="E190" i="3"/>
  <c r="E175" i="3"/>
  <c r="E167" i="3"/>
  <c r="E159" i="3"/>
  <c r="E136" i="3"/>
  <c r="E128" i="3"/>
  <c r="E120" i="3"/>
  <c r="E113" i="3"/>
  <c r="E105" i="3"/>
  <c r="E97" i="3"/>
  <c r="E89" i="3"/>
  <c r="E58" i="3"/>
  <c r="E43" i="3"/>
  <c r="E34" i="3"/>
  <c r="E27" i="3"/>
  <c r="G27" i="3" s="1"/>
  <c r="E12" i="3"/>
  <c r="G12" i="3" s="1"/>
  <c r="E4" i="3"/>
  <c r="E251" i="3"/>
  <c r="E145" i="3"/>
  <c r="E83" i="3"/>
  <c r="E52" i="3"/>
  <c r="E243" i="3"/>
  <c r="E176" i="3"/>
  <c r="E137" i="3"/>
  <c r="E59" i="3"/>
  <c r="E36" i="3"/>
  <c r="E13" i="3"/>
  <c r="E278" i="3"/>
  <c r="G278" i="3" s="1"/>
  <c r="E271" i="3"/>
  <c r="E264" i="3"/>
  <c r="E257" i="3"/>
  <c r="E249" i="3"/>
  <c r="E226" i="3"/>
  <c r="E211" i="3"/>
  <c r="E204" i="3"/>
  <c r="E182" i="3"/>
  <c r="E151" i="3"/>
  <c r="E143" i="3"/>
  <c r="E81" i="3"/>
  <c r="E73" i="3"/>
  <c r="E65" i="3"/>
  <c r="G65" i="3" s="1"/>
  <c r="E50" i="3"/>
  <c r="E273" i="3"/>
  <c r="E220" i="3"/>
  <c r="E168" i="3"/>
  <c r="E129" i="3"/>
  <c r="G129" i="3" s="1"/>
  <c r="E98" i="3"/>
  <c r="E44" i="3"/>
  <c r="E183" i="3"/>
  <c r="E240" i="3"/>
  <c r="E233" i="3"/>
  <c r="E218" i="3"/>
  <c r="E196" i="3"/>
  <c r="E188" i="3"/>
  <c r="E174" i="3"/>
  <c r="E166" i="3"/>
  <c r="E158" i="3"/>
  <c r="E135" i="3"/>
  <c r="E127" i="3"/>
  <c r="E119" i="3"/>
  <c r="E112" i="3"/>
  <c r="E104" i="3"/>
  <c r="E96" i="3"/>
  <c r="E88" i="3"/>
  <c r="E55" i="3"/>
  <c r="E42" i="3"/>
  <c r="E35" i="3"/>
  <c r="E19" i="3"/>
  <c r="E11" i="3"/>
  <c r="E3" i="3"/>
  <c r="E256" i="3"/>
  <c r="E225" i="3"/>
  <c r="E203" i="3"/>
  <c r="E181" i="3"/>
  <c r="E142" i="3"/>
  <c r="E80" i="3"/>
  <c r="E72" i="3"/>
  <c r="E64" i="3"/>
  <c r="E26" i="3"/>
  <c r="E198" i="3"/>
  <c r="E270" i="3"/>
  <c r="E248" i="3"/>
  <c r="E210" i="3"/>
  <c r="E150" i="3"/>
  <c r="E277" i="3"/>
  <c r="E263" i="3"/>
  <c r="E241" i="3"/>
  <c r="E232" i="3"/>
  <c r="E217" i="3"/>
  <c r="E195" i="3"/>
  <c r="E189" i="3"/>
  <c r="E173" i="3"/>
  <c r="E165" i="3"/>
  <c r="G165" i="3" s="1"/>
  <c r="E157" i="3"/>
  <c r="E134" i="3"/>
  <c r="E126" i="3"/>
  <c r="E118" i="3"/>
  <c r="E111" i="3"/>
  <c r="E103" i="3"/>
  <c r="E95" i="3"/>
  <c r="E87" i="3"/>
  <c r="G87" i="3" s="1"/>
  <c r="E57" i="3"/>
  <c r="E48" i="3"/>
  <c r="E41" i="3"/>
  <c r="E33" i="3"/>
  <c r="E18" i="3"/>
  <c r="E10" i="3"/>
  <c r="G10" i="3" s="1"/>
  <c r="F643" i="2"/>
  <c r="F547" i="2"/>
  <c r="F674" i="2"/>
  <c r="F578" i="2"/>
  <c r="F514" i="2"/>
  <c r="F162" i="2"/>
  <c r="F114" i="2"/>
  <c r="F673" i="2"/>
  <c r="F545" i="2"/>
  <c r="F513" i="2"/>
  <c r="F417" i="2"/>
  <c r="F675" i="2"/>
  <c r="F544" i="2"/>
  <c r="F480" i="2"/>
  <c r="F416" i="2"/>
  <c r="F368" i="2"/>
  <c r="F272" i="2"/>
  <c r="F225" i="2"/>
  <c r="F639" i="2"/>
  <c r="F510" i="2"/>
  <c r="F479" i="2"/>
  <c r="F415" i="2"/>
  <c r="F382" i="2"/>
  <c r="F57" i="2"/>
  <c r="F579" i="2"/>
  <c r="F403" i="2"/>
  <c r="F642" i="2"/>
  <c r="F546" i="2"/>
  <c r="F372" i="2"/>
  <c r="F258" i="2"/>
  <c r="F130" i="2"/>
  <c r="F542" i="2"/>
  <c r="F641" i="2"/>
  <c r="F369" i="2"/>
  <c r="F672" i="2"/>
  <c r="F640" i="2"/>
  <c r="F512" i="2"/>
  <c r="F443" i="2"/>
  <c r="F271" i="2"/>
  <c r="F196" i="2"/>
  <c r="F511" i="2"/>
  <c r="F478" i="2"/>
  <c r="F334" i="2"/>
  <c r="F270" i="2"/>
  <c r="F616" i="2"/>
  <c r="F347" i="2"/>
  <c r="F589" i="2"/>
  <c r="F21" i="2"/>
  <c r="F4" i="2"/>
  <c r="F29" i="2"/>
  <c r="F644" i="2"/>
  <c r="F260" i="2"/>
  <c r="F36" i="2"/>
  <c r="F573" i="2"/>
  <c r="F509" i="2"/>
  <c r="F344" i="2"/>
  <c r="F89" i="2"/>
  <c r="F78" i="2"/>
  <c r="F180" i="2"/>
  <c r="F543" i="2"/>
  <c r="F626" i="2"/>
  <c r="F605" i="2"/>
  <c r="F125" i="2"/>
  <c r="F401" i="2"/>
  <c r="F257" i="2"/>
  <c r="F145" i="2"/>
  <c r="F604" i="2"/>
  <c r="F19" i="2"/>
  <c r="F655" i="2"/>
  <c r="F111" i="2"/>
  <c r="F32" i="2"/>
  <c r="F622" i="2"/>
  <c r="F526" i="2"/>
  <c r="F237" i="2"/>
  <c r="F92" i="2"/>
  <c r="F525" i="2"/>
  <c r="F207" i="2"/>
  <c r="F346" i="2"/>
  <c r="F524" i="2"/>
  <c r="F90" i="2"/>
  <c r="F571" i="2"/>
  <c r="F489" i="2"/>
  <c r="F341" i="2"/>
  <c r="F163" i="2"/>
  <c r="F88" i="2"/>
  <c r="F677" i="2"/>
  <c r="F50" i="2"/>
  <c r="F386" i="2"/>
  <c r="F379" i="2"/>
  <c r="F385" i="2"/>
  <c r="F177" i="2"/>
  <c r="F444" i="2"/>
  <c r="F656" i="2"/>
  <c r="F400" i="2"/>
  <c r="F201" i="2"/>
  <c r="F79" i="2"/>
  <c r="F441" i="2"/>
  <c r="F350" i="2"/>
  <c r="F93" i="2"/>
  <c r="F197" i="2"/>
  <c r="F74" i="2"/>
  <c r="F259" i="2"/>
  <c r="F570" i="2"/>
  <c r="F488" i="2"/>
  <c r="F408" i="2"/>
  <c r="F236" i="2"/>
  <c r="F164" i="2"/>
  <c r="F85" i="2"/>
  <c r="F696" i="2"/>
  <c r="F664" i="2"/>
  <c r="F600" i="2"/>
  <c r="F568" i="2"/>
  <c r="F552" i="2"/>
  <c r="F536" i="2"/>
  <c r="F472" i="2"/>
  <c r="F424" i="2"/>
  <c r="F328" i="2"/>
  <c r="F280" i="2"/>
  <c r="F380" i="2"/>
  <c r="F204" i="2"/>
  <c r="F657" i="2"/>
  <c r="F497" i="2"/>
  <c r="F113" i="2"/>
  <c r="F515" i="2"/>
  <c r="F688" i="2"/>
  <c r="F112" i="2"/>
  <c r="F442" i="2"/>
  <c r="F222" i="2"/>
  <c r="F142" i="2"/>
  <c r="F493" i="2"/>
  <c r="F221" i="2"/>
  <c r="F440" i="2"/>
  <c r="F345" i="2"/>
  <c r="F165" i="2"/>
  <c r="F548" i="2"/>
  <c r="F405" i="2"/>
  <c r="F330" i="2"/>
  <c r="F239" i="2"/>
  <c r="F61" i="2"/>
  <c r="F223" i="2"/>
  <c r="F297" i="2"/>
  <c r="F203" i="2"/>
  <c r="F496" i="2"/>
  <c r="F256" i="2"/>
  <c r="F144" i="2"/>
  <c r="F18" i="2"/>
  <c r="F623" i="2"/>
  <c r="F399" i="2"/>
  <c r="F238" i="2"/>
  <c r="F366" i="2"/>
  <c r="F208" i="2"/>
  <c r="F110" i="2"/>
  <c r="F198" i="2"/>
  <c r="F109" i="2"/>
  <c r="F404" i="2"/>
  <c r="F312" i="2"/>
  <c r="F234" i="2"/>
  <c r="F152" i="2"/>
  <c r="F456" i="2"/>
  <c r="F126" i="2"/>
  <c r="F562" i="2"/>
  <c r="F418" i="2"/>
  <c r="F178" i="2"/>
  <c r="F35" i="2"/>
  <c r="F676" i="2"/>
  <c r="F453" i="2"/>
  <c r="F20" i="2"/>
  <c r="F49" i="2"/>
  <c r="F124" i="2"/>
  <c r="F353" i="2"/>
  <c r="F240" i="2"/>
  <c r="F671" i="2"/>
  <c r="F352" i="2"/>
  <c r="F255" i="2"/>
  <c r="F586" i="2"/>
  <c r="F17" i="2"/>
  <c r="F590" i="2"/>
  <c r="F494" i="2"/>
  <c r="F398" i="2"/>
  <c r="F253" i="2"/>
  <c r="F68" i="2"/>
  <c r="F426" i="2"/>
  <c r="F692" i="2"/>
  <c r="F108" i="2"/>
  <c r="F254" i="2"/>
  <c r="F461" i="2"/>
  <c r="F693" i="2"/>
  <c r="F107" i="2"/>
  <c r="F252" i="2"/>
  <c r="F316" i="2"/>
  <c r="F460" i="2"/>
  <c r="F69" i="2"/>
  <c r="F214" i="2"/>
  <c r="F596" i="2"/>
  <c r="F3" i="2"/>
  <c r="F621" i="2"/>
  <c r="F141" i="2"/>
  <c r="F91" i="2"/>
  <c r="F588" i="2"/>
  <c r="F219" i="2"/>
  <c r="F190" i="2"/>
  <c r="F309" i="2"/>
  <c r="F235" i="2"/>
  <c r="F148" i="2"/>
  <c r="F54" i="2"/>
  <c r="F597" i="2"/>
  <c r="F565" i="2"/>
  <c r="F533" i="2"/>
  <c r="F469" i="2"/>
  <c r="F325" i="2"/>
  <c r="F296" i="2"/>
  <c r="F402" i="2"/>
  <c r="F146" i="2"/>
  <c r="F625" i="2"/>
  <c r="F433" i="2"/>
  <c r="F293" i="2"/>
  <c r="F384" i="2"/>
  <c r="F603" i="2"/>
  <c r="F122" i="2"/>
  <c r="F6" i="2"/>
  <c r="F495" i="2"/>
  <c r="F367" i="2"/>
  <c r="F654" i="2"/>
  <c r="F351" i="2"/>
  <c r="F94" i="2"/>
  <c r="F580" i="2"/>
  <c r="F16" i="2"/>
  <c r="F653" i="2"/>
  <c r="F76" i="2"/>
  <c r="F652" i="2"/>
  <c r="F269" i="2"/>
  <c r="F75" i="2"/>
  <c r="F619" i="2"/>
  <c r="F700" i="2"/>
  <c r="F618" i="2"/>
  <c r="F474" i="2"/>
  <c r="F308" i="2"/>
  <c r="F233" i="2"/>
  <c r="F149" i="2"/>
  <c r="F52" i="2"/>
  <c r="F564" i="2"/>
  <c r="F532" i="2"/>
  <c r="F468" i="2"/>
  <c r="F436" i="2"/>
  <c r="F324" i="2"/>
  <c r="F658" i="2"/>
  <c r="F434" i="2"/>
  <c r="F290" i="2"/>
  <c r="F561" i="2"/>
  <c r="F289" i="2"/>
  <c r="F34" i="2"/>
  <c r="F624" i="2"/>
  <c r="F288" i="2"/>
  <c r="F33" i="2"/>
  <c r="F527" i="2"/>
  <c r="F383" i="2"/>
  <c r="F287" i="2"/>
  <c r="F143" i="2"/>
  <c r="F670" i="2"/>
  <c r="F462" i="2"/>
  <c r="F680" i="2"/>
  <c r="F617" i="2"/>
  <c r="F473" i="2"/>
  <c r="F381" i="2"/>
  <c r="F298" i="2"/>
  <c r="F51" i="2"/>
  <c r="F563" i="2"/>
  <c r="F531" i="2"/>
  <c r="F435" i="2"/>
  <c r="F323" i="2"/>
  <c r="F291" i="2"/>
  <c r="F699" i="2"/>
  <c r="F635" i="2"/>
  <c r="F602" i="2"/>
  <c r="F569" i="2"/>
  <c r="F508" i="2"/>
  <c r="F437" i="2"/>
  <c r="F329" i="2"/>
  <c r="F292" i="2"/>
  <c r="F184" i="2"/>
  <c r="F147" i="2"/>
  <c r="F41" i="2"/>
  <c r="F2" i="2"/>
  <c r="F698" i="2"/>
  <c r="F634" i="2"/>
  <c r="F601" i="2"/>
  <c r="F181" i="2"/>
  <c r="F697" i="2"/>
  <c r="F362" i="2"/>
  <c r="F179" i="2"/>
  <c r="F361" i="2"/>
  <c r="F202" i="2"/>
  <c r="F492" i="2"/>
  <c r="F459" i="2"/>
  <c r="F425" i="2"/>
  <c r="F315" i="2"/>
  <c r="F170" i="2"/>
  <c r="F106" i="2"/>
  <c r="F62" i="2"/>
  <c r="F682" i="2"/>
  <c r="F491" i="2"/>
  <c r="F458" i="2"/>
  <c r="F314" i="2"/>
  <c r="F277" i="2"/>
  <c r="F206" i="2"/>
  <c r="F169" i="2"/>
  <c r="F132" i="2"/>
  <c r="F59" i="2"/>
  <c r="F25" i="2"/>
  <c r="F681" i="2"/>
  <c r="F620" i="2"/>
  <c r="F587" i="2"/>
  <c r="F549" i="2"/>
  <c r="F516" i="2"/>
  <c r="F490" i="2"/>
  <c r="F457" i="2"/>
  <c r="F348" i="2"/>
  <c r="F313" i="2"/>
  <c r="F276" i="2"/>
  <c r="F205" i="2"/>
  <c r="F168" i="2"/>
  <c r="F131" i="2"/>
  <c r="F58" i="2"/>
  <c r="F691" i="2"/>
  <c r="F661" i="2"/>
  <c r="F638" i="2"/>
  <c r="F608" i="2"/>
  <c r="F585" i="2"/>
  <c r="F560" i="2"/>
  <c r="F530" i="2"/>
  <c r="F507" i="2"/>
  <c r="F477" i="2"/>
  <c r="F452" i="2"/>
  <c r="F421" i="2"/>
  <c r="F397" i="2"/>
  <c r="F365" i="2"/>
  <c r="F333" i="2"/>
  <c r="F307" i="2"/>
  <c r="F275" i="2"/>
  <c r="F251" i="2"/>
  <c r="F218" i="2"/>
  <c r="F189" i="2"/>
  <c r="F161" i="2"/>
  <c r="F129" i="2"/>
  <c r="F105" i="2"/>
  <c r="F73" i="2"/>
  <c r="F40" i="2"/>
  <c r="F15" i="2"/>
  <c r="F690" i="2"/>
  <c r="F660" i="2"/>
  <c r="F637" i="2"/>
  <c r="F607" i="2"/>
  <c r="F584" i="2"/>
  <c r="F554" i="2"/>
  <c r="F529" i="2"/>
  <c r="F506" i="2"/>
  <c r="F476" i="2"/>
  <c r="F451" i="2"/>
  <c r="F420" i="2"/>
  <c r="F388" i="2"/>
  <c r="F364" i="2"/>
  <c r="F332" i="2"/>
  <c r="F306" i="2"/>
  <c r="F274" i="2"/>
  <c r="F242" i="2"/>
  <c r="F220" i="2"/>
  <c r="F186" i="2"/>
  <c r="F160" i="2"/>
  <c r="F128" i="2"/>
  <c r="F96" i="2"/>
  <c r="F72" i="2"/>
  <c r="F42" i="2"/>
  <c r="F14" i="2"/>
  <c r="F689" i="2"/>
  <c r="F659" i="2"/>
  <c r="F636" i="2"/>
  <c r="F606" i="2"/>
  <c r="F581" i="2"/>
  <c r="F553" i="2"/>
  <c r="F528" i="2"/>
  <c r="F498" i="2"/>
  <c r="F475" i="2"/>
  <c r="F450" i="2"/>
  <c r="F419" i="2"/>
  <c r="F387" i="2"/>
  <c r="F363" i="2"/>
  <c r="F331" i="2"/>
  <c r="F305" i="2"/>
  <c r="F273" i="2"/>
  <c r="F241" i="2"/>
  <c r="F217" i="2"/>
  <c r="F185" i="2"/>
  <c r="F159" i="2"/>
  <c r="F127" i="2"/>
  <c r="F95" i="2"/>
  <c r="F70" i="2"/>
  <c r="F37" i="2"/>
  <c r="F13" i="2"/>
  <c r="F432" i="2"/>
  <c r="F414" i="2"/>
  <c r="F396" i="2"/>
  <c r="F378" i="2"/>
  <c r="F360" i="2"/>
  <c r="F340" i="2"/>
  <c r="F322" i="2"/>
  <c r="F304" i="2"/>
  <c r="F286" i="2"/>
  <c r="F267" i="2"/>
  <c r="F250" i="2"/>
  <c r="F232" i="2"/>
  <c r="F213" i="2"/>
  <c r="F195" i="2"/>
  <c r="F176" i="2"/>
  <c r="F158" i="2"/>
  <c r="F140" i="2"/>
  <c r="F123" i="2"/>
  <c r="F103" i="2"/>
  <c r="F84" i="2"/>
  <c r="F66" i="2"/>
  <c r="F48" i="2"/>
  <c r="F31" i="2"/>
  <c r="F12" i="2"/>
  <c r="F687" i="2"/>
  <c r="F669" i="2"/>
  <c r="F651" i="2"/>
  <c r="F633" i="2"/>
  <c r="F613" i="2"/>
  <c r="F595" i="2"/>
  <c r="F577" i="2"/>
  <c r="F559" i="2"/>
  <c r="F541" i="2"/>
  <c r="F523" i="2"/>
  <c r="F505" i="2"/>
  <c r="F485" i="2"/>
  <c r="F467" i="2"/>
  <c r="F449" i="2"/>
  <c r="F431" i="2"/>
  <c r="F413" i="2"/>
  <c r="F395" i="2"/>
  <c r="F377" i="2"/>
  <c r="F357" i="2"/>
  <c r="F338" i="2"/>
  <c r="F321" i="2"/>
  <c r="F303" i="2"/>
  <c r="F285" i="2"/>
  <c r="F268" i="2"/>
  <c r="F249" i="2"/>
  <c r="F228" i="2"/>
  <c r="F187" i="2"/>
  <c r="F193" i="2"/>
  <c r="F175" i="2"/>
  <c r="F157" i="2"/>
  <c r="F139" i="2"/>
  <c r="F121" i="2"/>
  <c r="F102" i="2"/>
  <c r="F83" i="2"/>
  <c r="F67" i="2"/>
  <c r="F47" i="2"/>
  <c r="F30" i="2"/>
  <c r="F11" i="2"/>
  <c r="F686" i="2"/>
  <c r="F668" i="2"/>
  <c r="F650" i="2"/>
  <c r="F632" i="2"/>
  <c r="F612" i="2"/>
  <c r="F594" i="2"/>
  <c r="F576" i="2"/>
  <c r="F558" i="2"/>
  <c r="F540" i="2"/>
  <c r="F522" i="2"/>
  <c r="F504" i="2"/>
  <c r="F484" i="2"/>
  <c r="F466" i="2"/>
  <c r="F447" i="2"/>
  <c r="F430" i="2"/>
  <c r="F412" i="2"/>
  <c r="F394" i="2"/>
  <c r="F376" i="2"/>
  <c r="F349" i="2"/>
  <c r="F339" i="2"/>
  <c r="F320" i="2"/>
  <c r="F302" i="2"/>
  <c r="F284" i="2"/>
  <c r="F266" i="2"/>
  <c r="F248" i="2"/>
  <c r="F229" i="2"/>
  <c r="F212" i="2"/>
  <c r="F194" i="2"/>
  <c r="F174" i="2"/>
  <c r="F156" i="2"/>
  <c r="F138" i="2"/>
  <c r="F120" i="2"/>
  <c r="F100" i="2"/>
  <c r="F82" i="2"/>
  <c r="F65" i="2"/>
  <c r="F46" i="2"/>
  <c r="F28" i="2"/>
  <c r="F10" i="2"/>
  <c r="F685" i="2"/>
  <c r="F667" i="2"/>
  <c r="F649" i="2"/>
  <c r="F629" i="2"/>
  <c r="F611" i="2"/>
  <c r="F593" i="2"/>
  <c r="F575" i="2"/>
  <c r="F557" i="2"/>
  <c r="F539" i="2"/>
  <c r="F521" i="2"/>
  <c r="F501" i="2"/>
  <c r="F483" i="2"/>
  <c r="F465" i="2"/>
  <c r="F448" i="2"/>
  <c r="F429" i="2"/>
  <c r="F411" i="2"/>
  <c r="F393" i="2"/>
  <c r="F373" i="2"/>
  <c r="F356" i="2"/>
  <c r="F336" i="2"/>
  <c r="F319" i="2"/>
  <c r="F301" i="2"/>
  <c r="F283" i="2"/>
  <c r="F264" i="2"/>
  <c r="F247" i="2"/>
  <c r="F227" i="2"/>
  <c r="F211" i="2"/>
  <c r="F192" i="2"/>
  <c r="F173" i="2"/>
  <c r="F155" i="2"/>
  <c r="F137" i="2"/>
  <c r="F117" i="2"/>
  <c r="F99" i="2"/>
  <c r="F81" i="2"/>
  <c r="F63" i="2"/>
  <c r="F45" i="2"/>
  <c r="F27" i="2"/>
  <c r="F9" i="2"/>
  <c r="F702" i="2"/>
  <c r="F684" i="2"/>
  <c r="F666" i="2"/>
  <c r="F648" i="2"/>
  <c r="F628" i="2"/>
  <c r="F610" i="2"/>
  <c r="F592" i="2"/>
  <c r="F574" i="2"/>
  <c r="F556" i="2"/>
  <c r="F538" i="2"/>
  <c r="F520" i="2"/>
  <c r="F500" i="2"/>
  <c r="F482" i="2"/>
  <c r="F464" i="2"/>
  <c r="F446" i="2"/>
  <c r="F428" i="2"/>
  <c r="F410" i="2"/>
  <c r="F392" i="2"/>
  <c r="F371" i="2"/>
  <c r="F355" i="2"/>
  <c r="F335" i="2"/>
  <c r="F318" i="2"/>
  <c r="F300" i="2"/>
  <c r="F282" i="2"/>
  <c r="F265" i="2"/>
  <c r="F246" i="2"/>
  <c r="F226" i="2"/>
  <c r="F209" i="2"/>
  <c r="F191" i="2"/>
  <c r="F171" i="2"/>
  <c r="F154" i="2"/>
  <c r="F136" i="2"/>
  <c r="F116" i="2"/>
  <c r="F98" i="2"/>
  <c r="F80" i="2"/>
  <c r="F64" i="2"/>
  <c r="F44" i="2"/>
  <c r="F26" i="2"/>
  <c r="F8" i="2"/>
  <c r="F701" i="2"/>
  <c r="F683" i="2"/>
  <c r="F665" i="2"/>
  <c r="F645" i="2"/>
  <c r="F627" i="2"/>
  <c r="F609" i="2"/>
  <c r="F591" i="2"/>
  <c r="F572" i="2"/>
  <c r="F555" i="2"/>
  <c r="F537" i="2"/>
  <c r="F517" i="2"/>
  <c r="F499" i="2"/>
  <c r="F481" i="2"/>
  <c r="F463" i="2"/>
  <c r="F445" i="2"/>
  <c r="F427" i="2"/>
  <c r="F409" i="2"/>
  <c r="F389" i="2"/>
  <c r="F370" i="2"/>
  <c r="F354" i="2"/>
  <c r="F337" i="2"/>
  <c r="F317" i="2"/>
  <c r="F299" i="2"/>
  <c r="F281" i="2"/>
  <c r="F261" i="2"/>
  <c r="F245" i="2"/>
  <c r="F224" i="2"/>
  <c r="F188" i="2"/>
  <c r="F172" i="2"/>
  <c r="F153" i="2"/>
  <c r="F133" i="2"/>
  <c r="F115" i="2"/>
  <c r="F97" i="2"/>
  <c r="F77" i="2"/>
  <c r="F60" i="2"/>
  <c r="F43" i="2"/>
  <c r="F24" i="2"/>
  <c r="F5" i="2"/>
  <c r="F695" i="2"/>
  <c r="F679" i="2"/>
  <c r="F663" i="2"/>
  <c r="F647" i="2"/>
  <c r="F631" i="2"/>
  <c r="F615" i="2"/>
  <c r="F599" i="2"/>
  <c r="F583" i="2"/>
  <c r="F567" i="2"/>
  <c r="F551" i="2"/>
  <c r="F535" i="2"/>
  <c r="F519" i="2"/>
  <c r="F503" i="2"/>
  <c r="F487" i="2"/>
  <c r="F471" i="2"/>
  <c r="F455" i="2"/>
  <c r="F439" i="2"/>
  <c r="F423" i="2"/>
  <c r="F407" i="2"/>
  <c r="F391" i="2"/>
  <c r="F375" i="2"/>
  <c r="F359" i="2"/>
  <c r="F343" i="2"/>
  <c r="F327" i="2"/>
  <c r="F310" i="2"/>
  <c r="F295" i="2"/>
  <c r="F279" i="2"/>
  <c r="F263" i="2"/>
  <c r="F244" i="2"/>
  <c r="F230" i="2"/>
  <c r="F216" i="2"/>
  <c r="F200" i="2"/>
  <c r="F183" i="2"/>
  <c r="F167" i="2"/>
  <c r="F151" i="2"/>
  <c r="F135" i="2"/>
  <c r="F119" i="2"/>
  <c r="F104" i="2"/>
  <c r="F87" i="2"/>
  <c r="F71" i="2"/>
  <c r="F56" i="2"/>
  <c r="F39" i="2"/>
  <c r="F23" i="2"/>
  <c r="F7" i="2"/>
  <c r="F694" i="2"/>
  <c r="F678" i="2"/>
  <c r="F662" i="2"/>
  <c r="F646" i="2"/>
  <c r="F630" i="2"/>
  <c r="F614" i="2"/>
  <c r="F598" i="2"/>
  <c r="F582" i="2"/>
  <c r="F566" i="2"/>
  <c r="F550" i="2"/>
  <c r="F534" i="2"/>
  <c r="F518" i="2"/>
  <c r="F502" i="2"/>
  <c r="F486" i="2"/>
  <c r="F470" i="2"/>
  <c r="F454" i="2"/>
  <c r="F438" i="2"/>
  <c r="F422" i="2"/>
  <c r="F406" i="2"/>
  <c r="F390" i="2"/>
  <c r="F374" i="2"/>
  <c r="F358" i="2"/>
  <c r="F342" i="2"/>
  <c r="F326" i="2"/>
  <c r="F311" i="2"/>
  <c r="F294" i="2"/>
  <c r="F278" i="2"/>
  <c r="F262" i="2"/>
  <c r="F243" i="2"/>
  <c r="F231" i="2"/>
  <c r="F215" i="2"/>
  <c r="F199" i="2"/>
  <c r="F182" i="2"/>
  <c r="F166" i="2"/>
  <c r="F150" i="2"/>
  <c r="F134" i="2"/>
  <c r="F118" i="2"/>
  <c r="F101" i="2"/>
  <c r="F86" i="2"/>
  <c r="F55" i="2"/>
  <c r="F53" i="2"/>
  <c r="F38" i="2"/>
  <c r="F22" i="2"/>
  <c r="E31" i="2"/>
  <c r="E30" i="2"/>
  <c r="E155" i="2"/>
  <c r="E206" i="2"/>
  <c r="E245" i="2"/>
  <c r="E256" i="2"/>
  <c r="E294" i="2"/>
  <c r="E319" i="2"/>
  <c r="E369" i="2"/>
  <c r="G369" i="2" s="1"/>
  <c r="E382" i="2"/>
  <c r="E466" i="2"/>
  <c r="E526" i="2"/>
  <c r="G526" i="2" s="1"/>
  <c r="E551" i="2"/>
  <c r="E623" i="2"/>
  <c r="E683" i="2"/>
  <c r="E17" i="2"/>
  <c r="E77" i="2"/>
  <c r="E117" i="2"/>
  <c r="E195" i="2"/>
  <c r="E333" i="2"/>
  <c r="E406" i="2"/>
  <c r="E479" i="2"/>
  <c r="E503" i="2"/>
  <c r="E564" i="2"/>
  <c r="E575" i="2"/>
  <c r="E613" i="2"/>
  <c r="E660" i="2"/>
  <c r="E642" i="2"/>
  <c r="E69" i="2"/>
  <c r="E156" i="2"/>
  <c r="E207" i="2"/>
  <c r="E233" i="2"/>
  <c r="E246" i="2"/>
  <c r="E271" i="2"/>
  <c r="E282" i="2"/>
  <c r="E320" i="2"/>
  <c r="E420" i="2"/>
  <c r="E456" i="2"/>
  <c r="E516" i="2"/>
  <c r="E109" i="2"/>
  <c r="E352" i="2"/>
  <c r="E474" i="2"/>
  <c r="E574" i="2"/>
  <c r="E32" i="2"/>
  <c r="E80" i="2"/>
  <c r="E118" i="2"/>
  <c r="E197" i="2"/>
  <c r="E504" i="2"/>
  <c r="E541" i="2"/>
  <c r="E565" i="2"/>
  <c r="E590" i="2"/>
  <c r="E603" i="2"/>
  <c r="E614" i="2"/>
  <c r="E650" i="2"/>
  <c r="E661" i="2"/>
  <c r="E674" i="2"/>
  <c r="G674" i="2" s="1"/>
  <c r="E173" i="2"/>
  <c r="E532" i="2"/>
  <c r="E9" i="2"/>
  <c r="G9" i="2" s="1"/>
  <c r="E496" i="2"/>
  <c r="E653" i="2"/>
  <c r="E265" i="2"/>
  <c r="E449" i="2"/>
  <c r="E701" i="2"/>
  <c r="E86" i="2"/>
  <c r="E400" i="2"/>
  <c r="G400" i="2" s="1"/>
  <c r="E595" i="2"/>
  <c r="E643" i="2"/>
  <c r="E49" i="2"/>
  <c r="E290" i="2"/>
  <c r="E573" i="2"/>
  <c r="E329" i="2"/>
  <c r="E621" i="2"/>
  <c r="G621" i="2" s="1"/>
  <c r="E304" i="2"/>
  <c r="E165" i="2"/>
  <c r="E368" i="2"/>
  <c r="E670" i="2"/>
  <c r="E281" i="2"/>
  <c r="E612" i="2"/>
  <c r="E659" i="2"/>
  <c r="E61" i="2"/>
  <c r="G61" i="2" s="1"/>
  <c r="E70" i="2"/>
  <c r="E146" i="2"/>
  <c r="E157" i="2"/>
  <c r="E235" i="2"/>
  <c r="E272" i="2"/>
  <c r="E311" i="2"/>
  <c r="E360" i="2"/>
  <c r="E445" i="2"/>
  <c r="E457" i="2"/>
  <c r="E494" i="2"/>
  <c r="E517" i="2"/>
  <c r="E639" i="2"/>
  <c r="E47" i="2"/>
  <c r="E186" i="2"/>
  <c r="E274" i="2"/>
  <c r="G274" i="2" s="1"/>
  <c r="E411" i="2"/>
  <c r="E700" i="2"/>
  <c r="E135" i="2"/>
  <c r="E459" i="2"/>
  <c r="E48" i="2"/>
  <c r="E302" i="2"/>
  <c r="E582" i="2"/>
  <c r="E60" i="2"/>
  <c r="E390" i="2"/>
  <c r="E497" i="2"/>
  <c r="E631" i="2"/>
  <c r="E303" i="2"/>
  <c r="E353" i="2"/>
  <c r="G353" i="2" s="1"/>
  <c r="E450" i="2"/>
  <c r="E691" i="2"/>
  <c r="E100" i="2"/>
  <c r="E391" i="2"/>
  <c r="E438" i="2"/>
  <c r="E644" i="2"/>
  <c r="E39" i="2"/>
  <c r="E512" i="2"/>
  <c r="E611" i="2"/>
  <c r="E88" i="2"/>
  <c r="E343" i="2"/>
  <c r="E525" i="2"/>
  <c r="E622" i="2"/>
  <c r="E127" i="2"/>
  <c r="E478" i="2"/>
  <c r="E108" i="2"/>
  <c r="G108" i="2" s="1"/>
  <c r="E119" i="2"/>
  <c r="E185" i="2"/>
  <c r="G185" i="2" s="1"/>
  <c r="E198" i="2"/>
  <c r="G198" i="2" s="1"/>
  <c r="E350" i="2"/>
  <c r="E373" i="2"/>
  <c r="E398" i="2"/>
  <c r="E470" i="2"/>
  <c r="E505" i="2"/>
  <c r="E542" i="2"/>
  <c r="E555" i="2"/>
  <c r="E591" i="2"/>
  <c r="E604" i="2"/>
  <c r="G604" i="2" s="1"/>
  <c r="E651" i="2"/>
  <c r="E699" i="2"/>
  <c r="E96" i="2"/>
  <c r="E196" i="2"/>
  <c r="G196" i="2" s="1"/>
  <c r="E225" i="2"/>
  <c r="E312" i="2"/>
  <c r="G312" i="2" s="1"/>
  <c r="E399" i="2"/>
  <c r="E543" i="2"/>
  <c r="E689" i="2"/>
  <c r="E62" i="2"/>
  <c r="E436" i="2"/>
  <c r="E630" i="2"/>
  <c r="E110" i="2"/>
  <c r="E189" i="2"/>
  <c r="E533" i="2"/>
  <c r="E226" i="2"/>
  <c r="E437" i="2"/>
  <c r="E252" i="2"/>
  <c r="E583" i="2"/>
  <c r="E87" i="2"/>
  <c r="E342" i="2"/>
  <c r="E524" i="2"/>
  <c r="E681" i="2"/>
  <c r="E488" i="2"/>
  <c r="G488" i="2" s="1"/>
  <c r="E692" i="2"/>
  <c r="E76" i="2"/>
  <c r="E242" i="2"/>
  <c r="E392" i="2"/>
  <c r="E682" i="2"/>
  <c r="E217" i="2"/>
  <c r="E563" i="2"/>
  <c r="E8" i="2"/>
  <c r="E21" i="2"/>
  <c r="E55" i="2"/>
  <c r="E147" i="2"/>
  <c r="G147" i="2" s="1"/>
  <c r="E158" i="2"/>
  <c r="E234" i="2"/>
  <c r="E361" i="2"/>
  <c r="E435" i="2"/>
  <c r="E458" i="2"/>
  <c r="G458" i="2" s="1"/>
  <c r="E495" i="2"/>
  <c r="E351" i="2"/>
  <c r="E556" i="2"/>
  <c r="E22" i="2"/>
  <c r="E149" i="2"/>
  <c r="E389" i="2"/>
  <c r="E485" i="2"/>
  <c r="E678" i="2"/>
  <c r="E313" i="2"/>
  <c r="E426" i="2"/>
  <c r="E690" i="2"/>
  <c r="E341" i="2"/>
  <c r="E486" i="2"/>
  <c r="E620" i="2"/>
  <c r="E38" i="2"/>
  <c r="E264" i="2"/>
  <c r="E125" i="2"/>
  <c r="E427" i="2"/>
  <c r="E535" i="2"/>
  <c r="E669" i="2"/>
  <c r="E178" i="2"/>
  <c r="E572" i="2"/>
  <c r="E205" i="2"/>
  <c r="E381" i="2"/>
  <c r="E428" i="2"/>
  <c r="E42" i="2"/>
  <c r="E418" i="2"/>
  <c r="E635" i="2"/>
  <c r="E652" i="2"/>
  <c r="E571" i="2"/>
  <c r="E534" i="2"/>
  <c r="E407" i="2"/>
  <c r="E310" i="2"/>
  <c r="E263" i="2"/>
  <c r="E214" i="2"/>
  <c r="E177" i="2"/>
  <c r="E163" i="2"/>
  <c r="E116" i="2"/>
  <c r="E698" i="2"/>
  <c r="E662" i="2"/>
  <c r="E605" i="2"/>
  <c r="E581" i="2"/>
  <c r="E523" i="2"/>
  <c r="E487" i="2"/>
  <c r="E465" i="2"/>
  <c r="E429" i="2"/>
  <c r="E419" i="2"/>
  <c r="E359" i="2"/>
  <c r="E321" i="2"/>
  <c r="E273" i="2"/>
  <c r="E239" i="2"/>
  <c r="E224" i="2"/>
  <c r="E139" i="2"/>
  <c r="E126" i="2"/>
  <c r="E79" i="2"/>
  <c r="E40" i="2"/>
  <c r="E10" i="2"/>
  <c r="E2" i="2"/>
  <c r="E13" i="2"/>
  <c r="E33" i="2"/>
  <c r="E71" i="2"/>
  <c r="E102" i="2"/>
  <c r="E120" i="2"/>
  <c r="E140" i="2"/>
  <c r="E148" i="2"/>
  <c r="E169" i="2"/>
  <c r="E190" i="2"/>
  <c r="E220" i="2"/>
  <c r="E227" i="2"/>
  <c r="E257" i="2"/>
  <c r="E275" i="2"/>
  <c r="E295" i="2"/>
  <c r="E334" i="2"/>
  <c r="E354" i="2"/>
  <c r="E383" i="2"/>
  <c r="E412" i="2"/>
  <c r="E421" i="2"/>
  <c r="E430" i="2"/>
  <c r="E509" i="2"/>
  <c r="E547" i="2"/>
  <c r="E566" i="2"/>
  <c r="E596" i="2"/>
  <c r="E615" i="2"/>
  <c r="E654" i="2"/>
  <c r="E693" i="2"/>
  <c r="E219" i="2"/>
  <c r="E619" i="2"/>
  <c r="E46" i="2"/>
  <c r="E241" i="2"/>
  <c r="E318" i="2"/>
  <c r="E397" i="2"/>
  <c r="E464" i="2"/>
  <c r="E531" i="2"/>
  <c r="E599" i="2"/>
  <c r="E629" i="2"/>
  <c r="E57" i="2"/>
  <c r="E134" i="2"/>
  <c r="E164" i="2"/>
  <c r="E280" i="2"/>
  <c r="E328" i="2"/>
  <c r="E358" i="2"/>
  <c r="E23" i="2"/>
  <c r="E54" i="2"/>
  <c r="E64" i="2"/>
  <c r="E92" i="2"/>
  <c r="E111" i="2"/>
  <c r="E131" i="2"/>
  <c r="E180" i="2"/>
  <c r="E211" i="2"/>
  <c r="E248" i="2"/>
  <c r="E266" i="2"/>
  <c r="E286" i="2"/>
  <c r="E325" i="2"/>
  <c r="E344" i="2"/>
  <c r="E374" i="2"/>
  <c r="E451" i="2"/>
  <c r="E471" i="2"/>
  <c r="E480" i="2"/>
  <c r="E489" i="2"/>
  <c r="E518" i="2"/>
  <c r="E527" i="2"/>
  <c r="E557" i="2"/>
  <c r="E587" i="2"/>
  <c r="G587" i="2" s="1"/>
  <c r="E606" i="2"/>
  <c r="E636" i="2"/>
  <c r="E645" i="2"/>
  <c r="E675" i="2"/>
  <c r="G675" i="2" s="1"/>
  <c r="E684" i="2"/>
  <c r="E25" i="2"/>
  <c r="E53" i="2"/>
  <c r="E93" i="2"/>
  <c r="E112" i="2"/>
  <c r="E132" i="2"/>
  <c r="E179" i="2"/>
  <c r="E218" i="2"/>
  <c r="E268" i="2"/>
  <c r="E287" i="2"/>
  <c r="E326" i="2"/>
  <c r="E472" i="2"/>
  <c r="E511" i="2"/>
  <c r="G511" i="2" s="1"/>
  <c r="E519" i="2"/>
  <c r="E558" i="2"/>
  <c r="E588" i="2"/>
  <c r="E646" i="2"/>
  <c r="E685" i="2"/>
  <c r="E15" i="2"/>
  <c r="E84" i="2"/>
  <c r="E122" i="2"/>
  <c r="E203" i="2"/>
  <c r="E240" i="2"/>
  <c r="E317" i="2"/>
  <c r="E366" i="2"/>
  <c r="E396" i="2"/>
  <c r="E443" i="2"/>
  <c r="E463" i="2"/>
  <c r="E628" i="2"/>
  <c r="E667" i="2"/>
  <c r="E65" i="2"/>
  <c r="E142" i="2"/>
  <c r="E181" i="2"/>
  <c r="E259" i="2"/>
  <c r="E288" i="2"/>
  <c r="E327" i="2"/>
  <c r="E473" i="2"/>
  <c r="E510" i="2"/>
  <c r="E540" i="2"/>
  <c r="E589" i="2"/>
  <c r="E638" i="2"/>
  <c r="E103" i="2"/>
  <c r="E171" i="2"/>
  <c r="E204" i="2"/>
  <c r="E298" i="2"/>
  <c r="E444" i="2"/>
  <c r="E493" i="2"/>
  <c r="E550" i="2"/>
  <c r="E580" i="2"/>
  <c r="E668" i="2"/>
  <c r="E7" i="2"/>
  <c r="E95" i="2"/>
  <c r="E154" i="2"/>
  <c r="E213" i="2"/>
  <c r="E232" i="2"/>
  <c r="E309" i="2"/>
  <c r="E14" i="2"/>
  <c r="E34" i="2"/>
  <c r="E72" i="2"/>
  <c r="E101" i="2"/>
  <c r="E141" i="2"/>
  <c r="E150" i="2"/>
  <c r="E170" i="2"/>
  <c r="G170" i="2" s="1"/>
  <c r="E188" i="2"/>
  <c r="E229" i="2"/>
  <c r="E258" i="2"/>
  <c r="E297" i="2"/>
  <c r="E305" i="2"/>
  <c r="E337" i="2"/>
  <c r="E365" i="2"/>
  <c r="E384" i="2"/>
  <c r="E404" i="2"/>
  <c r="E413" i="2"/>
  <c r="E422" i="2"/>
  <c r="E442" i="2"/>
  <c r="E548" i="2"/>
  <c r="E567" i="2"/>
  <c r="E597" i="2"/>
  <c r="E627" i="2"/>
  <c r="E666" i="2"/>
  <c r="E63" i="2"/>
  <c r="E161" i="2"/>
  <c r="E212" i="2"/>
  <c r="E249" i="2"/>
  <c r="E345" i="2"/>
  <c r="E375" i="2"/>
  <c r="E481" i="2"/>
  <c r="E501" i="2"/>
  <c r="E539" i="2"/>
  <c r="E607" i="2"/>
  <c r="E637" i="2"/>
  <c r="E676" i="2"/>
  <c r="E45" i="2"/>
  <c r="E104" i="2"/>
  <c r="E172" i="2"/>
  <c r="E296" i="2"/>
  <c r="E335" i="2"/>
  <c r="E385" i="2"/>
  <c r="E452" i="2"/>
  <c r="E549" i="2"/>
  <c r="E579" i="2"/>
  <c r="E598" i="2"/>
  <c r="E6" i="2"/>
  <c r="E24" i="2"/>
  <c r="E56" i="2"/>
  <c r="E94" i="2"/>
  <c r="E133" i="2"/>
  <c r="E162" i="2"/>
  <c r="E187" i="2"/>
  <c r="E250" i="2"/>
  <c r="E279" i="2"/>
  <c r="E357" i="2"/>
  <c r="E376" i="2"/>
  <c r="E405" i="2"/>
  <c r="E414" i="2"/>
  <c r="E434" i="2"/>
  <c r="E502" i="2"/>
  <c r="E520" i="2"/>
  <c r="E559" i="2"/>
  <c r="E658" i="2"/>
  <c r="E677" i="2"/>
  <c r="E697" i="2"/>
  <c r="E16" i="2"/>
  <c r="E85" i="2"/>
  <c r="E124" i="2"/>
  <c r="E336" i="2"/>
  <c r="E367" i="2"/>
  <c r="E37" i="2"/>
  <c r="E75" i="2"/>
  <c r="E193" i="2"/>
  <c r="E251" i="2"/>
  <c r="E289" i="2"/>
  <c r="E377" i="2"/>
  <c r="E696" i="2"/>
  <c r="E673" i="2"/>
  <c r="E665" i="2"/>
  <c r="E634" i="2"/>
  <c r="E626" i="2"/>
  <c r="E618" i="2"/>
  <c r="E610" i="2"/>
  <c r="E602" i="2"/>
  <c r="E594" i="2"/>
  <c r="E586" i="2"/>
  <c r="E578" i="2"/>
  <c r="E570" i="2"/>
  <c r="E562" i="2"/>
  <c r="E554" i="2"/>
  <c r="E546" i="2"/>
  <c r="E538" i="2"/>
  <c r="E508" i="2"/>
  <c r="E500" i="2"/>
  <c r="E492" i="2"/>
  <c r="E477" i="2"/>
  <c r="E462" i="2"/>
  <c r="E455" i="2"/>
  <c r="E447" i="2"/>
  <c r="E441" i="2"/>
  <c r="E433" i="2"/>
  <c r="E403" i="2"/>
  <c r="E388" i="2"/>
  <c r="E301" i="2"/>
  <c r="E293" i="2"/>
  <c r="E278" i="2"/>
  <c r="E270" i="2"/>
  <c r="E255" i="2"/>
  <c r="E244" i="2"/>
  <c r="E238" i="2"/>
  <c r="E230" i="2"/>
  <c r="E202" i="2"/>
  <c r="E209" i="2"/>
  <c r="E201" i="2"/>
  <c r="E194" i="2"/>
  <c r="E153" i="2"/>
  <c r="E138" i="2"/>
  <c r="E130" i="2"/>
  <c r="E115" i="2"/>
  <c r="E107" i="2"/>
  <c r="E99" i="2"/>
  <c r="E91" i="2"/>
  <c r="E83" i="2"/>
  <c r="E74" i="2"/>
  <c r="E68" i="2"/>
  <c r="E52" i="2"/>
  <c r="E44" i="2"/>
  <c r="E29" i="2"/>
  <c r="E28" i="2"/>
  <c r="E5" i="2"/>
  <c r="E688" i="2"/>
  <c r="E680" i="2"/>
  <c r="E657" i="2"/>
  <c r="E649" i="2"/>
  <c r="E530" i="2"/>
  <c r="E522" i="2"/>
  <c r="E515" i="2"/>
  <c r="E484" i="2"/>
  <c r="E469" i="2"/>
  <c r="E425" i="2"/>
  <c r="E417" i="2"/>
  <c r="E410" i="2"/>
  <c r="E395" i="2"/>
  <c r="E380" i="2"/>
  <c r="E371" i="2"/>
  <c r="E364" i="2"/>
  <c r="E349" i="2"/>
  <c r="E348" i="2"/>
  <c r="E340" i="2"/>
  <c r="E332" i="2"/>
  <c r="E324" i="2"/>
  <c r="E316" i="2"/>
  <c r="E308" i="2"/>
  <c r="E285" i="2"/>
  <c r="E262" i="2"/>
  <c r="E223" i="2"/>
  <c r="E184" i="2"/>
  <c r="G184" i="2" s="1"/>
  <c r="E176" i="2"/>
  <c r="E168" i="2"/>
  <c r="E145" i="2"/>
  <c r="E123" i="2"/>
  <c r="E59" i="2"/>
  <c r="E20" i="2"/>
  <c r="E12" i="2"/>
  <c r="E695" i="2"/>
  <c r="E672" i="2"/>
  <c r="E641" i="2"/>
  <c r="E633" i="2"/>
  <c r="E625" i="2"/>
  <c r="E617" i="2"/>
  <c r="E609" i="2"/>
  <c r="E601" i="2"/>
  <c r="E593" i="2"/>
  <c r="E585" i="2"/>
  <c r="E577" i="2"/>
  <c r="E569" i="2"/>
  <c r="E561" i="2"/>
  <c r="E553" i="2"/>
  <c r="E545" i="2"/>
  <c r="E537" i="2"/>
  <c r="E507" i="2"/>
  <c r="E499" i="2"/>
  <c r="E491" i="2"/>
  <c r="E476" i="2"/>
  <c r="E440" i="2"/>
  <c r="E432" i="2"/>
  <c r="E402" i="2"/>
  <c r="E387" i="2"/>
  <c r="E300" i="2"/>
  <c r="E292" i="2"/>
  <c r="E277" i="2"/>
  <c r="E269" i="2"/>
  <c r="E253" i="2"/>
  <c r="E243" i="2"/>
  <c r="E237" i="2"/>
  <c r="E231" i="2"/>
  <c r="E216" i="2"/>
  <c r="E210" i="2"/>
  <c r="E200" i="2"/>
  <c r="E192" i="2"/>
  <c r="E160" i="2"/>
  <c r="E137" i="2"/>
  <c r="E114" i="2"/>
  <c r="E106" i="2"/>
  <c r="E98" i="2"/>
  <c r="E90" i="2"/>
  <c r="E82" i="2"/>
  <c r="E78" i="2"/>
  <c r="E66" i="2"/>
  <c r="E51" i="2"/>
  <c r="E43" i="2"/>
  <c r="E36" i="2"/>
  <c r="E27" i="2"/>
  <c r="E4" i="2"/>
  <c r="E687" i="2"/>
  <c r="E679" i="2"/>
  <c r="E664" i="2"/>
  <c r="E656" i="2"/>
  <c r="E648" i="2"/>
  <c r="E529" i="2"/>
  <c r="E514" i="2"/>
  <c r="E483" i="2"/>
  <c r="E468" i="2"/>
  <c r="E461" i="2"/>
  <c r="E454" i="2"/>
  <c r="E448" i="2"/>
  <c r="E424" i="2"/>
  <c r="E416" i="2"/>
  <c r="E409" i="2"/>
  <c r="E394" i="2"/>
  <c r="E379" i="2"/>
  <c r="G379" i="2" s="1"/>
  <c r="E370" i="2"/>
  <c r="E363" i="2"/>
  <c r="E356" i="2"/>
  <c r="E347" i="2"/>
  <c r="E338" i="2"/>
  <c r="E331" i="2"/>
  <c r="E323" i="2"/>
  <c r="E315" i="2"/>
  <c r="E307" i="2"/>
  <c r="E284" i="2"/>
  <c r="E261" i="2"/>
  <c r="E222" i="2"/>
  <c r="E183" i="2"/>
  <c r="E175" i="2"/>
  <c r="E167" i="2"/>
  <c r="E152" i="2"/>
  <c r="E144" i="2"/>
  <c r="E129" i="2"/>
  <c r="E19" i="2"/>
  <c r="E11" i="2"/>
  <c r="E702" i="2"/>
  <c r="E694" i="2"/>
  <c r="E671" i="2"/>
  <c r="E640" i="2"/>
  <c r="E632" i="2"/>
  <c r="E624" i="2"/>
  <c r="E616" i="2"/>
  <c r="E608" i="2"/>
  <c r="E600" i="2"/>
  <c r="E592" i="2"/>
  <c r="E584" i="2"/>
  <c r="E576" i="2"/>
  <c r="E568" i="2"/>
  <c r="E560" i="2"/>
  <c r="E552" i="2"/>
  <c r="E544" i="2"/>
  <c r="E521" i="2"/>
  <c r="E506" i="2"/>
  <c r="E498" i="2"/>
  <c r="E490" i="2"/>
  <c r="E475" i="2"/>
  <c r="E439" i="2"/>
  <c r="E431" i="2"/>
  <c r="E401" i="2"/>
  <c r="E386" i="2"/>
  <c r="E299" i="2"/>
  <c r="E291" i="2"/>
  <c r="E276" i="2"/>
  <c r="E267" i="2"/>
  <c r="E254" i="2"/>
  <c r="E247" i="2"/>
  <c r="E236" i="2"/>
  <c r="E228" i="2"/>
  <c r="E215" i="2"/>
  <c r="E208" i="2"/>
  <c r="E199" i="2"/>
  <c r="E159" i="2"/>
  <c r="E136" i="2"/>
  <c r="E121" i="2"/>
  <c r="E113" i="2"/>
  <c r="E105" i="2"/>
  <c r="E97" i="2"/>
  <c r="E89" i="2"/>
  <c r="E81" i="2"/>
  <c r="E73" i="2"/>
  <c r="E58" i="2"/>
  <c r="E50" i="2"/>
  <c r="E41" i="2"/>
  <c r="E35" i="2"/>
  <c r="E3" i="2"/>
  <c r="E686" i="2"/>
  <c r="E663" i="2"/>
  <c r="E655" i="2"/>
  <c r="E647" i="2"/>
  <c r="E536" i="2"/>
  <c r="E528" i="2"/>
  <c r="E513" i="2"/>
  <c r="G513" i="2" s="1"/>
  <c r="E482" i="2"/>
  <c r="E467" i="2"/>
  <c r="E460" i="2"/>
  <c r="E453" i="2"/>
  <c r="E446" i="2"/>
  <c r="E423" i="2"/>
  <c r="E415" i="2"/>
  <c r="E408" i="2"/>
  <c r="E393" i="2"/>
  <c r="E378" i="2"/>
  <c r="E372" i="2"/>
  <c r="E362" i="2"/>
  <c r="E355" i="2"/>
  <c r="E346" i="2"/>
  <c r="E339" i="2"/>
  <c r="E330" i="2"/>
  <c r="E322" i="2"/>
  <c r="E314" i="2"/>
  <c r="E306" i="2"/>
  <c r="E283" i="2"/>
  <c r="E260" i="2"/>
  <c r="E221" i="2"/>
  <c r="E191" i="2"/>
  <c r="E182" i="2"/>
  <c r="E174" i="2"/>
  <c r="E166" i="2"/>
  <c r="E151" i="2"/>
  <c r="E143" i="2"/>
  <c r="E128" i="2"/>
  <c r="E67" i="2"/>
  <c r="E26" i="2"/>
  <c r="E18" i="2"/>
  <c r="F5" i="1"/>
  <c r="F17" i="1"/>
  <c r="F16" i="1"/>
  <c r="F15" i="1"/>
  <c r="F14" i="1"/>
  <c r="F13" i="1"/>
  <c r="F12" i="1"/>
  <c r="F20" i="1"/>
  <c r="F19" i="1"/>
  <c r="F18" i="1"/>
  <c r="F11" i="1"/>
  <c r="F10" i="1"/>
  <c r="F6" i="1"/>
  <c r="F4" i="1"/>
  <c r="F3" i="1"/>
  <c r="F9" i="1"/>
  <c r="G9" i="1" s="1"/>
  <c r="F8" i="1"/>
  <c r="F7" i="1"/>
  <c r="F21" i="1"/>
  <c r="E18" i="1"/>
  <c r="E19" i="1"/>
  <c r="E15" i="1"/>
  <c r="G15" i="1" s="1"/>
  <c r="E9" i="1"/>
  <c r="E16" i="1"/>
  <c r="E2" i="1"/>
  <c r="G2" i="1" s="1"/>
  <c r="E5" i="1"/>
  <c r="E12" i="1"/>
  <c r="G12" i="1" s="1"/>
  <c r="E20" i="1"/>
  <c r="G20" i="1" s="1"/>
  <c r="E6" i="1"/>
  <c r="E13" i="1"/>
  <c r="E21" i="1"/>
  <c r="E7" i="1"/>
  <c r="E14" i="1"/>
  <c r="E8" i="1"/>
  <c r="E10" i="1"/>
  <c r="E3" i="1"/>
  <c r="E17" i="1"/>
  <c r="G17" i="1" s="1"/>
  <c r="E4" i="1"/>
  <c r="E11" i="1"/>
  <c r="G41" i="4"/>
  <c r="G93" i="4"/>
  <c r="G11" i="4"/>
  <c r="G53" i="8"/>
  <c r="G46" i="6"/>
  <c r="G71" i="6"/>
  <c r="G224" i="6"/>
  <c r="G183" i="6"/>
  <c r="G51" i="7"/>
  <c r="G30" i="4"/>
  <c r="G53" i="3" l="1"/>
  <c r="G255" i="3"/>
  <c r="G117" i="3"/>
  <c r="G257" i="3"/>
  <c r="G230" i="3"/>
  <c r="G170" i="3"/>
  <c r="G469" i="2"/>
  <c r="G643" i="2"/>
  <c r="G206" i="2"/>
  <c r="G423" i="2"/>
  <c r="G351" i="2"/>
  <c r="G282" i="2"/>
  <c r="G155" i="2"/>
  <c r="G125" i="2"/>
  <c r="G565" i="2"/>
  <c r="G358" i="2"/>
  <c r="G556" i="2"/>
  <c r="G333" i="2"/>
  <c r="G38" i="2"/>
  <c r="G435" i="2"/>
  <c r="G100" i="2"/>
  <c r="G214" i="2"/>
  <c r="G132" i="2"/>
  <c r="G178" i="2"/>
  <c r="G382" i="2"/>
  <c r="G479" i="2"/>
  <c r="G168" i="2"/>
  <c r="G564" i="2"/>
  <c r="G272" i="2"/>
  <c r="G114" i="2"/>
  <c r="G552" i="2"/>
  <c r="G568" i="2"/>
  <c r="G541" i="2"/>
  <c r="G397" i="2"/>
  <c r="G463" i="2"/>
  <c r="G139" i="2"/>
  <c r="G345" i="2"/>
  <c r="G512" i="2"/>
  <c r="G260" i="2"/>
  <c r="G440" i="2"/>
  <c r="G144" i="2"/>
  <c r="G562" i="2"/>
  <c r="G596" i="2"/>
  <c r="G419" i="2"/>
  <c r="G81" i="2"/>
  <c r="G641" i="2"/>
  <c r="G193" i="2"/>
  <c r="G567" i="2"/>
  <c r="G456" i="2"/>
  <c r="G88" i="2"/>
  <c r="G510" i="2"/>
  <c r="G163" i="2"/>
  <c r="G221" i="2"/>
  <c r="G337" i="2"/>
  <c r="G630" i="2"/>
  <c r="G93" i="2"/>
  <c r="G169" i="2"/>
  <c r="G325" i="2"/>
  <c r="G271" i="2"/>
  <c r="G4" i="2"/>
  <c r="G19" i="2"/>
  <c r="G659" i="2"/>
  <c r="G504" i="2"/>
  <c r="G571" i="2"/>
  <c r="G620" i="2"/>
  <c r="G648" i="2"/>
  <c r="G356" i="2"/>
  <c r="G328" i="2"/>
  <c r="G305" i="2"/>
  <c r="G281" i="2"/>
  <c r="G118" i="2"/>
  <c r="G548" i="2"/>
  <c r="G32" i="2"/>
  <c r="G611" i="2"/>
  <c r="G50" i="2"/>
  <c r="G58" i="2"/>
  <c r="G673" i="2"/>
  <c r="G232" i="3"/>
  <c r="G47" i="3"/>
  <c r="G113" i="3"/>
  <c r="G26" i="3"/>
  <c r="G218" i="3"/>
  <c r="G55" i="3"/>
  <c r="G214" i="3"/>
  <c r="G34" i="3"/>
  <c r="G167" i="3"/>
  <c r="G258" i="3"/>
  <c r="G209" i="3"/>
  <c r="G46" i="4"/>
  <c r="G108" i="4"/>
  <c r="G72" i="4"/>
  <c r="G47" i="4"/>
  <c r="G105" i="4"/>
  <c r="G61" i="4"/>
  <c r="G38" i="8"/>
  <c r="G21" i="8"/>
  <c r="G12" i="8"/>
  <c r="G55" i="8"/>
  <c r="G18" i="8"/>
  <c r="G65" i="8"/>
  <c r="G34" i="8"/>
  <c r="G37" i="8"/>
  <c r="G16" i="8"/>
  <c r="G24" i="8"/>
  <c r="G30" i="8"/>
  <c r="G57" i="8"/>
  <c r="G19" i="8"/>
  <c r="G10" i="7"/>
  <c r="G20" i="7"/>
  <c r="G13" i="7"/>
  <c r="G33" i="7"/>
  <c r="G40" i="7"/>
  <c r="G22" i="7"/>
  <c r="G54" i="7"/>
  <c r="G82" i="7"/>
  <c r="G32" i="7"/>
  <c r="G97" i="7"/>
  <c r="G100" i="7"/>
  <c r="G9" i="7"/>
  <c r="G105" i="7"/>
  <c r="G53" i="7"/>
  <c r="G24" i="7"/>
  <c r="G23" i="7"/>
  <c r="G41" i="7"/>
  <c r="G101" i="7"/>
  <c r="G84" i="7"/>
  <c r="G26" i="7"/>
  <c r="G49" i="7"/>
  <c r="G39" i="7"/>
  <c r="G42" i="7"/>
  <c r="G28" i="7"/>
  <c r="G58" i="7"/>
  <c r="G44" i="7"/>
  <c r="G21" i="7"/>
  <c r="G73" i="7"/>
  <c r="G36" i="7"/>
  <c r="G175" i="6"/>
  <c r="G203" i="6"/>
  <c r="G117" i="6"/>
  <c r="G135" i="6"/>
  <c r="G159" i="6"/>
  <c r="G145" i="6"/>
  <c r="G55" i="6"/>
  <c r="G172" i="6"/>
  <c r="G144" i="6"/>
  <c r="G34" i="6"/>
  <c r="G44" i="6"/>
  <c r="G3" i="6"/>
  <c r="G12" i="6"/>
  <c r="G82" i="6"/>
  <c r="G20" i="6"/>
  <c r="G201" i="6"/>
  <c r="G61" i="6"/>
  <c r="G107" i="6"/>
  <c r="G134" i="6"/>
  <c r="G31" i="6"/>
  <c r="G60" i="6"/>
  <c r="G39" i="6"/>
  <c r="G210" i="6"/>
  <c r="G7" i="6"/>
  <c r="G211" i="6"/>
  <c r="G132" i="6"/>
  <c r="G122" i="6"/>
  <c r="G2" i="6"/>
  <c r="G94" i="6"/>
  <c r="G48" i="6"/>
  <c r="G142" i="6"/>
  <c r="G129" i="6"/>
  <c r="G131" i="6"/>
  <c r="G165" i="6"/>
  <c r="G8" i="6"/>
  <c r="G43" i="6"/>
  <c r="G100" i="6"/>
  <c r="G29" i="6"/>
  <c r="G190" i="6"/>
  <c r="G129" i="5"/>
  <c r="G143" i="5"/>
  <c r="G35" i="5"/>
  <c r="G59" i="5"/>
  <c r="G146" i="5"/>
  <c r="G96" i="5"/>
  <c r="G165" i="5"/>
  <c r="G158" i="5"/>
  <c r="G65" i="5"/>
  <c r="G167" i="5"/>
  <c r="G49" i="5"/>
  <c r="G152" i="5"/>
  <c r="G161" i="5"/>
  <c r="G25" i="5"/>
  <c r="G28" i="5"/>
  <c r="G138" i="5"/>
  <c r="G141" i="5"/>
  <c r="G154" i="5"/>
  <c r="G92" i="5"/>
  <c r="G178" i="5"/>
  <c r="G106" i="5"/>
  <c r="G27" i="5"/>
  <c r="G168" i="5"/>
  <c r="G56" i="5"/>
  <c r="G176" i="5"/>
  <c r="G51" i="5"/>
  <c r="G163" i="5"/>
  <c r="G50" i="5"/>
  <c r="G37" i="5"/>
  <c r="G8" i="5"/>
  <c r="G142" i="5"/>
  <c r="G97" i="5"/>
  <c r="G62" i="5"/>
  <c r="G95" i="5"/>
  <c r="G79" i="5"/>
  <c r="G132" i="5"/>
  <c r="G76" i="5"/>
  <c r="G64" i="5"/>
  <c r="G30" i="5"/>
  <c r="G70" i="5"/>
  <c r="G140" i="5"/>
  <c r="G19" i="5"/>
  <c r="G33" i="5"/>
  <c r="G101" i="5"/>
  <c r="G136" i="5"/>
  <c r="G90" i="5"/>
  <c r="G82" i="5"/>
  <c r="G116" i="5"/>
  <c r="G100" i="5"/>
  <c r="G189" i="5"/>
  <c r="G188" i="5"/>
  <c r="G151" i="5"/>
  <c r="G68" i="5"/>
  <c r="G125" i="5"/>
  <c r="G148" i="5"/>
  <c r="G153" i="5"/>
  <c r="G122" i="5"/>
  <c r="G159" i="5"/>
  <c r="G16" i="5"/>
  <c r="G421" i="2"/>
  <c r="G616" i="2"/>
  <c r="G581" i="2"/>
  <c r="G381" i="2"/>
  <c r="G678" i="2"/>
  <c r="G200" i="2"/>
  <c r="G299" i="2"/>
  <c r="G189" i="2"/>
  <c r="G367" i="2"/>
  <c r="G2" i="2"/>
  <c r="G174" i="2"/>
  <c r="G593" i="2"/>
  <c r="G406" i="2"/>
  <c r="G482" i="2"/>
  <c r="G63" i="2"/>
  <c r="G322" i="2"/>
  <c r="G476" i="2"/>
  <c r="G661" i="2"/>
  <c r="G597" i="2"/>
  <c r="G417" i="2"/>
  <c r="G65" i="2"/>
  <c r="G346" i="2"/>
  <c r="G33" i="2"/>
  <c r="G446" i="2"/>
  <c r="G157" i="2"/>
  <c r="G78" i="4"/>
  <c r="G104" i="4"/>
  <c r="G64" i="4"/>
  <c r="G83" i="4"/>
  <c r="G60" i="4"/>
  <c r="G85" i="4"/>
  <c r="G38" i="4"/>
  <c r="G66" i="4"/>
  <c r="G74" i="4"/>
  <c r="G58" i="4"/>
  <c r="G22" i="4"/>
  <c r="G76" i="4"/>
  <c r="G24" i="4"/>
  <c r="G106" i="4"/>
  <c r="G9" i="4"/>
  <c r="G89" i="4"/>
  <c r="G14" i="4"/>
  <c r="G59" i="4"/>
  <c r="G107" i="4"/>
  <c r="G84" i="4"/>
  <c r="G109" i="4"/>
  <c r="G15" i="4"/>
  <c r="G32" i="4"/>
  <c r="G18" i="4"/>
  <c r="G99" i="4"/>
  <c r="G101" i="4"/>
  <c r="G7" i="4"/>
  <c r="G73" i="4"/>
  <c r="G92" i="4"/>
  <c r="G23" i="4"/>
  <c r="G100" i="4"/>
  <c r="G48" i="4"/>
  <c r="G39" i="4"/>
  <c r="G56" i="4"/>
  <c r="G33" i="4"/>
  <c r="G19" i="4"/>
  <c r="G27" i="4"/>
  <c r="G21" i="4"/>
  <c r="G45" i="4"/>
  <c r="G87" i="4"/>
  <c r="G51" i="4"/>
  <c r="G36" i="4"/>
  <c r="G69" i="4"/>
  <c r="G116" i="4"/>
  <c r="G29" i="4"/>
  <c r="G20" i="4"/>
  <c r="G53" i="4"/>
  <c r="G50" i="4"/>
  <c r="G67" i="4"/>
  <c r="G44" i="4"/>
  <c r="G75" i="4"/>
  <c r="G52" i="4"/>
  <c r="G102" i="4"/>
  <c r="G110" i="4"/>
  <c r="G8" i="4"/>
  <c r="G90" i="4"/>
  <c r="G5" i="4"/>
  <c r="G98" i="4"/>
  <c r="G43" i="4"/>
  <c r="G28" i="4"/>
  <c r="G118" i="4"/>
  <c r="G3" i="4"/>
  <c r="G65" i="4"/>
  <c r="G91" i="4"/>
  <c r="G68" i="4"/>
  <c r="G94" i="4"/>
  <c r="G16" i="4"/>
  <c r="G81" i="4"/>
  <c r="G55" i="4"/>
  <c r="G54" i="4"/>
  <c r="G71" i="4"/>
  <c r="G6" i="4"/>
  <c r="G70" i="4"/>
  <c r="G96" i="4"/>
  <c r="G17" i="4"/>
  <c r="G95" i="4"/>
  <c r="G86" i="4"/>
  <c r="G112" i="4"/>
  <c r="G49" i="4"/>
  <c r="G113" i="4"/>
  <c r="G111" i="4"/>
  <c r="G69" i="8"/>
  <c r="G31" i="8"/>
  <c r="G39" i="8"/>
  <c r="G63" i="8"/>
  <c r="G3" i="8"/>
  <c r="G2" i="8"/>
  <c r="G51" i="8"/>
  <c r="G49" i="8"/>
  <c r="G52" i="8"/>
  <c r="G25" i="8"/>
  <c r="G67" i="8"/>
  <c r="G44" i="8"/>
  <c r="G6" i="8"/>
  <c r="G5" i="8"/>
  <c r="G60" i="8"/>
  <c r="G27" i="8"/>
  <c r="G28" i="8"/>
  <c r="G45" i="8"/>
  <c r="G71" i="8"/>
  <c r="G59" i="8"/>
  <c r="G62" i="8"/>
  <c r="G10" i="8"/>
  <c r="G29" i="8"/>
  <c r="G8" i="8"/>
  <c r="G46" i="8"/>
  <c r="G61" i="8"/>
  <c r="G13" i="8"/>
  <c r="G14" i="8"/>
  <c r="G11" i="8"/>
  <c r="G50" i="8"/>
  <c r="G26" i="8"/>
  <c r="G9" i="8"/>
  <c r="G18" i="7"/>
  <c r="G19" i="7"/>
  <c r="G81" i="7"/>
  <c r="G89" i="7"/>
  <c r="G37" i="7"/>
  <c r="G107" i="7"/>
  <c r="G110" i="7"/>
  <c r="G30" i="7"/>
  <c r="G76" i="7"/>
  <c r="G79" i="7"/>
  <c r="G70" i="7"/>
  <c r="G108" i="7"/>
  <c r="G90" i="7"/>
  <c r="G43" i="7"/>
  <c r="G78" i="7"/>
  <c r="G4" i="7"/>
  <c r="G61" i="7"/>
  <c r="G93" i="7"/>
  <c r="G2" i="7"/>
  <c r="G55" i="7"/>
  <c r="G86" i="7"/>
  <c r="G74" i="7"/>
  <c r="G60" i="7"/>
  <c r="G34" i="7"/>
  <c r="G3" i="7"/>
  <c r="G57" i="7"/>
  <c r="G72" i="7"/>
  <c r="G104" i="7"/>
  <c r="G85" i="7"/>
  <c r="G102" i="7"/>
  <c r="G71" i="7"/>
  <c r="G106" i="7"/>
  <c r="G15" i="7"/>
  <c r="G11" i="7"/>
  <c r="G66" i="7"/>
  <c r="G47" i="7"/>
  <c r="G56" i="7"/>
  <c r="G27" i="7"/>
  <c r="G29" i="7"/>
  <c r="G46" i="7"/>
  <c r="G87" i="7"/>
  <c r="G103" i="7"/>
  <c r="G67" i="7"/>
  <c r="G95" i="7"/>
  <c r="G75" i="7"/>
  <c r="G31" i="7"/>
  <c r="G59" i="7"/>
  <c r="G35" i="7"/>
  <c r="G16" i="7"/>
  <c r="G80" i="7"/>
  <c r="G12" i="7"/>
  <c r="G83" i="7"/>
  <c r="G64" i="7"/>
  <c r="G63" i="7"/>
  <c r="G69" i="6"/>
  <c r="G87" i="6"/>
  <c r="G90" i="6"/>
  <c r="G79" i="6"/>
  <c r="G143" i="6"/>
  <c r="G92" i="6"/>
  <c r="G205" i="6"/>
  <c r="G136" i="6"/>
  <c r="G162" i="6"/>
  <c r="G207" i="6"/>
  <c r="G88" i="6"/>
  <c r="G50" i="6"/>
  <c r="G105" i="6"/>
  <c r="G223" i="6"/>
  <c r="G146" i="6"/>
  <c r="G218" i="6"/>
  <c r="G112" i="6"/>
  <c r="G62" i="6"/>
  <c r="G130" i="6"/>
  <c r="G216" i="6"/>
  <c r="G108" i="6"/>
  <c r="G103" i="6"/>
  <c r="G96" i="6"/>
  <c r="G6" i="6"/>
  <c r="G154" i="6"/>
  <c r="G115" i="6"/>
  <c r="G28" i="6"/>
  <c r="G158" i="6"/>
  <c r="G127" i="6"/>
  <c r="G191" i="6"/>
  <c r="G126" i="6"/>
  <c r="G156" i="6"/>
  <c r="G86" i="6"/>
  <c r="G196" i="6"/>
  <c r="G133" i="6"/>
  <c r="G59" i="6"/>
  <c r="G101" i="6"/>
  <c r="G53" i="6"/>
  <c r="G66" i="6"/>
  <c r="G138" i="6"/>
  <c r="G185" i="6"/>
  <c r="G137" i="6"/>
  <c r="G95" i="6"/>
  <c r="G81" i="6"/>
  <c r="G214" i="6"/>
  <c r="G194" i="6"/>
  <c r="G98" i="6"/>
  <c r="G91" i="6"/>
  <c r="G167" i="6"/>
  <c r="G202" i="6"/>
  <c r="G72" i="6"/>
  <c r="G166" i="6"/>
  <c r="G155" i="6"/>
  <c r="G67" i="6"/>
  <c r="G176" i="6"/>
  <c r="G206" i="6"/>
  <c r="G169" i="6"/>
  <c r="G184" i="6"/>
  <c r="G182" i="6"/>
  <c r="G181" i="6"/>
  <c r="G217" i="6"/>
  <c r="G42" i="6"/>
  <c r="G83" i="6"/>
  <c r="G74" i="6"/>
  <c r="G63" i="6"/>
  <c r="G33" i="6"/>
  <c r="G161" i="6"/>
  <c r="G125" i="6"/>
  <c r="G121" i="6"/>
  <c r="G93" i="6"/>
  <c r="G188" i="6"/>
  <c r="G113" i="6"/>
  <c r="G109" i="6"/>
  <c r="G110" i="6"/>
  <c r="G118" i="6"/>
  <c r="G17" i="6"/>
  <c r="G148" i="6"/>
  <c r="G76" i="6"/>
  <c r="G151" i="6"/>
  <c r="G187" i="6"/>
  <c r="G213" i="6"/>
  <c r="G209" i="6"/>
  <c r="G200" i="6"/>
  <c r="G160" i="6"/>
  <c r="G4" i="6"/>
  <c r="G104" i="6"/>
  <c r="G65" i="6"/>
  <c r="G163" i="6"/>
  <c r="G141" i="6"/>
  <c r="G177" i="6"/>
  <c r="G68" i="6"/>
  <c r="G25" i="6"/>
  <c r="G199" i="6"/>
  <c r="G5" i="6"/>
  <c r="G22" i="6"/>
  <c r="G45" i="6"/>
  <c r="G14" i="6"/>
  <c r="G140" i="6"/>
  <c r="G225" i="6"/>
  <c r="G173" i="6"/>
  <c r="G15" i="6"/>
  <c r="G164" i="6"/>
  <c r="G52" i="6"/>
  <c r="G48" i="5"/>
  <c r="G114" i="5"/>
  <c r="G32" i="5"/>
  <c r="G52" i="5"/>
  <c r="G174" i="5"/>
  <c r="G123" i="5"/>
  <c r="G110" i="5"/>
  <c r="G187" i="5"/>
  <c r="G74" i="5"/>
  <c r="G31" i="5"/>
  <c r="G120" i="5"/>
  <c r="G44" i="5"/>
  <c r="G111" i="5"/>
  <c r="G75" i="5"/>
  <c r="G99" i="5"/>
  <c r="G190" i="5"/>
  <c r="G34" i="5"/>
  <c r="G115" i="5"/>
  <c r="G47" i="5"/>
  <c r="G7" i="5"/>
  <c r="G121" i="5"/>
  <c r="G61" i="5"/>
  <c r="G98" i="5"/>
  <c r="G24" i="5"/>
  <c r="G86" i="5"/>
  <c r="G55" i="5"/>
  <c r="G78" i="5"/>
  <c r="G10" i="5"/>
  <c r="G150" i="5"/>
  <c r="G63" i="5"/>
  <c r="G183" i="5"/>
  <c r="G175" i="5"/>
  <c r="G139" i="5"/>
  <c r="G14" i="5"/>
  <c r="G137" i="5"/>
  <c r="G46" i="5"/>
  <c r="G72" i="5"/>
  <c r="G103" i="5"/>
  <c r="G134" i="5"/>
  <c r="G22" i="5"/>
  <c r="G147" i="5"/>
  <c r="G13" i="5"/>
  <c r="G119" i="5"/>
  <c r="G73" i="5"/>
  <c r="G118" i="5"/>
  <c r="G155" i="5"/>
  <c r="G2" i="5"/>
  <c r="G88" i="5"/>
  <c r="G21" i="5"/>
  <c r="G145" i="5"/>
  <c r="G91" i="5"/>
  <c r="G164" i="5"/>
  <c r="G81" i="5"/>
  <c r="G169" i="5"/>
  <c r="G43" i="5"/>
  <c r="G80" i="5"/>
  <c r="G130" i="5"/>
  <c r="G89" i="5"/>
  <c r="G127" i="5"/>
  <c r="G126" i="5"/>
  <c r="G149" i="5"/>
  <c r="G191" i="5"/>
  <c r="G6" i="5"/>
  <c r="G171" i="5"/>
  <c r="G36" i="5"/>
  <c r="G54" i="5"/>
  <c r="G160" i="5"/>
  <c r="G11" i="5"/>
  <c r="G135" i="5"/>
  <c r="G162" i="5"/>
  <c r="G83" i="5"/>
  <c r="G53" i="5"/>
  <c r="G107" i="5"/>
  <c r="G156" i="5"/>
  <c r="G105" i="5"/>
  <c r="G4" i="5"/>
  <c r="G45" i="5"/>
  <c r="G166" i="5"/>
  <c r="G9" i="5"/>
  <c r="G38" i="5"/>
  <c r="G117" i="5"/>
  <c r="G3" i="5"/>
  <c r="G94" i="5"/>
  <c r="G5" i="5"/>
  <c r="G113" i="5"/>
  <c r="G93" i="5"/>
  <c r="G184" i="5"/>
  <c r="G186" i="5"/>
  <c r="G29" i="5"/>
  <c r="G67" i="5"/>
  <c r="G172" i="5"/>
  <c r="G85" i="5"/>
  <c r="G58" i="5"/>
  <c r="G104" i="5"/>
  <c r="G112" i="5"/>
  <c r="G87" i="5"/>
  <c r="G57" i="5"/>
  <c r="G50" i="3"/>
  <c r="G92" i="3"/>
  <c r="G202" i="3"/>
  <c r="G139" i="3"/>
  <c r="G71" i="3"/>
  <c r="G148" i="3"/>
  <c r="G135" i="3"/>
  <c r="G68" i="3"/>
  <c r="G103" i="3"/>
  <c r="G35" i="3"/>
  <c r="G145" i="3"/>
  <c r="G248" i="3"/>
  <c r="G240" i="3"/>
  <c r="G617" i="2"/>
  <c r="G625" i="2"/>
  <c r="G91" i="2"/>
  <c r="G453" i="2"/>
  <c r="G573" i="2"/>
  <c r="G672" i="2"/>
  <c r="G580" i="2"/>
  <c r="G18" i="2"/>
  <c r="G266" i="2"/>
  <c r="G76" i="2"/>
  <c r="G398" i="2"/>
  <c r="G594" i="2"/>
  <c r="G493" i="2"/>
  <c r="G373" i="2"/>
  <c r="G291" i="2"/>
  <c r="G536" i="2"/>
  <c r="G448" i="2"/>
  <c r="G243" i="2"/>
  <c r="G59" i="2"/>
  <c r="G349" i="2"/>
  <c r="G441" i="2"/>
  <c r="G602" i="2"/>
  <c r="G350" i="2"/>
  <c r="G31" i="2"/>
  <c r="G262" i="2"/>
  <c r="G192" i="2"/>
  <c r="G128" i="2"/>
  <c r="G253" i="2"/>
  <c r="G141" i="2"/>
  <c r="G652" i="2"/>
  <c r="G681" i="2"/>
  <c r="G399" i="2"/>
  <c r="G22" i="2"/>
  <c r="G394" i="2"/>
  <c r="G285" i="2"/>
  <c r="G242" i="2"/>
  <c r="G288" i="2"/>
  <c r="G352" i="2"/>
  <c r="G143" i="2"/>
  <c r="G362" i="2"/>
  <c r="G655" i="2"/>
  <c r="G475" i="2"/>
  <c r="G569" i="2"/>
  <c r="G162" i="2"/>
  <c r="G676" i="2"/>
  <c r="G472" i="2"/>
  <c r="G131" i="2"/>
  <c r="G383" i="2"/>
  <c r="G13" i="2"/>
  <c r="G361" i="2"/>
  <c r="G691" i="2"/>
  <c r="G449" i="2"/>
  <c r="G197" i="2"/>
  <c r="G294" i="2"/>
  <c r="G682" i="2"/>
  <c r="G525" i="2"/>
  <c r="G372" i="2"/>
  <c r="G640" i="2"/>
  <c r="G468" i="2"/>
  <c r="G145" i="2"/>
  <c r="G29" i="2"/>
  <c r="G462" i="2"/>
  <c r="G16" i="2"/>
  <c r="G171" i="2"/>
  <c r="G443" i="2"/>
  <c r="G326" i="2"/>
  <c r="G557" i="2"/>
  <c r="G111" i="2"/>
  <c r="G342" i="2"/>
  <c r="G225" i="2"/>
  <c r="G47" i="2"/>
  <c r="G156" i="2"/>
  <c r="G623" i="2"/>
  <c r="G631" i="2"/>
  <c r="G235" i="2"/>
  <c r="G685" i="2"/>
  <c r="G547" i="2"/>
  <c r="G296" i="2"/>
  <c r="G142" i="2"/>
  <c r="G644" i="2"/>
  <c r="G590" i="2"/>
  <c r="G424" i="2"/>
  <c r="G689" i="2"/>
  <c r="G202" i="2"/>
  <c r="G94" i="2"/>
  <c r="G287" i="2"/>
  <c r="G241" i="2"/>
  <c r="G635" i="2"/>
  <c r="G341" i="2"/>
  <c r="G639" i="2"/>
  <c r="G670" i="2"/>
  <c r="G653" i="2"/>
  <c r="G582" i="2"/>
  <c r="G392" i="2"/>
  <c r="G516" i="2"/>
  <c r="G109" i="2"/>
  <c r="G3" i="2"/>
  <c r="G506" i="2"/>
  <c r="G514" i="2"/>
  <c r="G98" i="2"/>
  <c r="G492" i="2"/>
  <c r="G677" i="2"/>
  <c r="G413" i="2"/>
  <c r="G14" i="2"/>
  <c r="G638" i="2"/>
  <c r="G366" i="2"/>
  <c r="G418" i="2"/>
  <c r="G245" i="2"/>
  <c r="G330" i="2"/>
  <c r="G408" i="2"/>
  <c r="G35" i="2"/>
  <c r="G702" i="2"/>
  <c r="G338" i="2"/>
  <c r="G106" i="2"/>
  <c r="G238" i="2"/>
  <c r="G658" i="2"/>
  <c r="G24" i="2"/>
  <c r="G317" i="2"/>
  <c r="G218" i="2"/>
  <c r="G489" i="2"/>
  <c r="G42" i="2"/>
  <c r="G426" i="2"/>
  <c r="G494" i="2"/>
  <c r="G165" i="2"/>
  <c r="G167" i="2"/>
  <c r="G679" i="2"/>
  <c r="G555" i="2"/>
  <c r="G669" i="2"/>
  <c r="G49" i="2"/>
  <c r="G344" i="2"/>
  <c r="G191" i="2"/>
  <c r="G415" i="2"/>
  <c r="G402" i="2"/>
  <c r="G74" i="2"/>
  <c r="G508" i="2"/>
  <c r="G540" i="2"/>
  <c r="G179" i="2"/>
  <c r="G257" i="2"/>
  <c r="G437" i="2"/>
  <c r="G304" i="2"/>
  <c r="G532" i="2"/>
  <c r="G212" i="2"/>
  <c r="G217" i="2"/>
  <c r="G5" i="1"/>
  <c r="G21" i="1"/>
  <c r="G19" i="1"/>
  <c r="G3" i="1"/>
  <c r="G13" i="1"/>
  <c r="G16" i="1"/>
  <c r="G54" i="3"/>
  <c r="G6" i="3"/>
  <c r="G196" i="3"/>
  <c r="G39" i="3"/>
  <c r="G96" i="3"/>
  <c r="G261" i="3"/>
  <c r="G193" i="3"/>
  <c r="G162" i="3"/>
  <c r="G201" i="3"/>
  <c r="G210" i="3"/>
  <c r="G114" i="3"/>
  <c r="G31" i="3"/>
  <c r="G150" i="3"/>
  <c r="G233" i="3"/>
  <c r="G42" i="3"/>
  <c r="G211" i="3"/>
  <c r="G24" i="3"/>
  <c r="G185" i="3"/>
  <c r="G186" i="3"/>
  <c r="G200" i="3"/>
  <c r="G223" i="3"/>
  <c r="G194" i="3"/>
  <c r="G226" i="3"/>
  <c r="G4" i="3"/>
  <c r="G32" i="3"/>
  <c r="G134" i="3"/>
  <c r="G163" i="3"/>
  <c r="G154" i="3"/>
  <c r="G69" i="3"/>
  <c r="G249" i="3"/>
  <c r="G130" i="3"/>
  <c r="G25" i="3"/>
  <c r="G122" i="3"/>
  <c r="G244" i="3"/>
  <c r="G84" i="3"/>
  <c r="G81" i="3"/>
  <c r="G98" i="3"/>
  <c r="G140" i="3"/>
  <c r="G149" i="3"/>
  <c r="G245" i="3"/>
  <c r="G33" i="3"/>
  <c r="G264" i="3"/>
  <c r="G20" i="3"/>
  <c r="G164" i="3"/>
  <c r="G253" i="3"/>
  <c r="G37" i="3"/>
  <c r="G262" i="3"/>
  <c r="G279" i="3"/>
  <c r="G198" i="3"/>
  <c r="G216" i="3"/>
  <c r="G236" i="3"/>
  <c r="G104" i="3"/>
  <c r="G267" i="3"/>
  <c r="G180" i="3"/>
  <c r="G89" i="3"/>
  <c r="G60" i="3"/>
  <c r="G15" i="3"/>
  <c r="G105" i="3"/>
  <c r="G76" i="3"/>
  <c r="G166" i="3"/>
  <c r="G115" i="3"/>
  <c r="G78" i="3"/>
  <c r="G38" i="3"/>
  <c r="G57" i="3"/>
  <c r="G188" i="3"/>
  <c r="G128" i="3"/>
  <c r="G23" i="3"/>
  <c r="G124" i="3"/>
  <c r="G94" i="3"/>
  <c r="G79" i="3"/>
  <c r="G187" i="3"/>
  <c r="G204" i="3"/>
  <c r="G72" i="3"/>
  <c r="G239" i="3"/>
  <c r="G181" i="3"/>
  <c r="G82" i="3"/>
  <c r="G91" i="3"/>
  <c r="G272" i="3"/>
  <c r="G73" i="3"/>
  <c r="G280" i="3"/>
  <c r="G48" i="3"/>
  <c r="G93" i="3"/>
  <c r="G263" i="3"/>
  <c r="G143" i="3"/>
  <c r="G277" i="3"/>
  <c r="G136" i="3"/>
  <c r="G227" i="3"/>
  <c r="G85" i="3"/>
  <c r="G125" i="3"/>
  <c r="G175" i="3"/>
  <c r="G259" i="3"/>
  <c r="G234" i="3"/>
  <c r="G268" i="3"/>
  <c r="G269" i="3"/>
  <c r="G8" i="3"/>
  <c r="G22" i="3"/>
  <c r="G45" i="3"/>
  <c r="G208" i="3"/>
  <c r="G137" i="3"/>
  <c r="G274" i="3"/>
  <c r="G16" i="3"/>
  <c r="G247" i="3"/>
  <c r="G108" i="3"/>
  <c r="G63" i="3"/>
  <c r="G146" i="3"/>
  <c r="G3" i="3"/>
  <c r="G212" i="3"/>
  <c r="G19" i="3"/>
  <c r="G182" i="3"/>
  <c r="G159" i="3"/>
  <c r="G250" i="3"/>
  <c r="G41" i="3"/>
  <c r="G120" i="3"/>
  <c r="G192" i="3"/>
  <c r="G131" i="3"/>
  <c r="G243" i="3"/>
  <c r="G265" i="3"/>
  <c r="G222" i="3"/>
  <c r="G70" i="3"/>
  <c r="G229" i="3"/>
  <c r="G237" i="3"/>
  <c r="G11" i="3"/>
  <c r="G151" i="3"/>
  <c r="G52" i="3"/>
  <c r="G231" i="3"/>
  <c r="G13" i="3"/>
  <c r="G195" i="3"/>
  <c r="G83" i="3"/>
  <c r="G235" i="3"/>
  <c r="G36" i="3"/>
  <c r="G119" i="3"/>
  <c r="G58" i="3"/>
  <c r="G5" i="3"/>
  <c r="G273" i="3"/>
  <c r="G28" i="3"/>
  <c r="G97" i="3"/>
  <c r="G215" i="3"/>
  <c r="G40" i="3"/>
  <c r="G100" i="3"/>
  <c r="G217" i="3"/>
  <c r="G238" i="3"/>
  <c r="G61" i="3"/>
  <c r="G9" i="3"/>
  <c r="G225" i="3"/>
  <c r="G152" i="3"/>
  <c r="G251" i="3"/>
  <c r="G183" i="3"/>
  <c r="G190" i="3"/>
  <c r="G184" i="3"/>
  <c r="G207" i="3"/>
  <c r="G224" i="3"/>
  <c r="G59" i="3"/>
  <c r="G67" i="3"/>
  <c r="G169" i="3"/>
  <c r="G241" i="3"/>
  <c r="G256" i="3"/>
  <c r="G254" i="3"/>
  <c r="G14" i="3"/>
  <c r="G111" i="3"/>
  <c r="G118" i="3"/>
  <c r="G88" i="3"/>
  <c r="G197" i="3"/>
  <c r="G75" i="3"/>
  <c r="G275" i="3"/>
  <c r="G168" i="3"/>
  <c r="G271" i="3"/>
  <c r="G43" i="3"/>
  <c r="G46" i="3"/>
  <c r="G147" i="3"/>
  <c r="G270" i="3"/>
  <c r="G44" i="3"/>
  <c r="G219" i="3"/>
  <c r="G66" i="3"/>
  <c r="G266" i="3"/>
  <c r="G126" i="3"/>
  <c r="G64" i="3"/>
  <c r="G157" i="3"/>
  <c r="G173" i="3"/>
  <c r="G80" i="3"/>
  <c r="G220" i="3"/>
  <c r="G77" i="3"/>
  <c r="G95" i="3"/>
  <c r="G189" i="3"/>
  <c r="G142" i="3"/>
  <c r="G127" i="3"/>
  <c r="G206" i="3"/>
  <c r="G107" i="3"/>
  <c r="G155" i="3"/>
  <c r="G109" i="3"/>
  <c r="G252" i="3"/>
  <c r="G123" i="3"/>
  <c r="G203" i="3"/>
  <c r="G158" i="3"/>
  <c r="G144" i="3"/>
  <c r="G110" i="3"/>
  <c r="G62" i="3"/>
  <c r="G112" i="3"/>
  <c r="G160" i="3"/>
  <c r="G171" i="3"/>
  <c r="G172" i="3"/>
  <c r="G141" i="3"/>
  <c r="G174" i="3"/>
  <c r="G176" i="3"/>
  <c r="G191" i="3"/>
  <c r="G205" i="3"/>
  <c r="G49" i="3"/>
  <c r="G221" i="3"/>
  <c r="G632" i="2"/>
  <c r="G17" i="2"/>
  <c r="G495" i="2"/>
  <c r="G483" i="2"/>
  <c r="G90" i="2"/>
  <c r="G104" i="2"/>
  <c r="G444" i="2"/>
  <c r="G543" i="2"/>
  <c r="G30" i="2"/>
  <c r="G62" i="2"/>
  <c r="G521" i="2"/>
  <c r="G601" i="2"/>
  <c r="G697" i="2"/>
  <c r="G34" i="2"/>
  <c r="G92" i="2"/>
  <c r="G135" i="2"/>
  <c r="G41" i="2"/>
  <c r="G544" i="2"/>
  <c r="G605" i="2"/>
  <c r="G496" i="2"/>
  <c r="G250" i="2"/>
  <c r="G589" i="2"/>
  <c r="G619" i="2"/>
  <c r="G101" i="2"/>
  <c r="G194" i="2"/>
  <c r="G560" i="2"/>
  <c r="G664" i="2"/>
  <c r="G270" i="2"/>
  <c r="G126" i="2"/>
  <c r="G336" i="2"/>
  <c r="G522" i="2"/>
  <c r="G112" i="2"/>
  <c r="G654" i="2"/>
  <c r="G533" i="2"/>
  <c r="G248" i="2"/>
  <c r="G146" i="2"/>
  <c r="G68" i="2"/>
  <c r="G324" i="2"/>
  <c r="G627" i="2"/>
  <c r="G500" i="2"/>
  <c r="G649" i="2"/>
  <c r="G130" i="2"/>
  <c r="G578" i="2"/>
  <c r="G251" i="2"/>
  <c r="G149" i="2"/>
  <c r="G542" i="2"/>
  <c r="G650" i="2"/>
  <c r="G256" i="2"/>
  <c r="G438" i="2"/>
  <c r="G244" i="2"/>
  <c r="G360" i="2"/>
  <c r="G427" i="2"/>
  <c r="G123" i="2"/>
  <c r="G201" i="2"/>
  <c r="G71" i="2"/>
  <c r="G277" i="2"/>
  <c r="G233" i="2"/>
  <c r="G628" i="2"/>
  <c r="G412" i="2"/>
  <c r="G595" i="2"/>
  <c r="G531" i="2"/>
  <c r="G85" i="2"/>
  <c r="G52" i="2"/>
  <c r="G442" i="2"/>
  <c r="G527" i="2"/>
  <c r="G69" i="2"/>
  <c r="G236" i="2"/>
  <c r="G347" i="2"/>
  <c r="G368" i="2"/>
  <c r="G642" i="2"/>
  <c r="G86" i="2"/>
  <c r="G410" i="2"/>
  <c r="G83" i="2"/>
  <c r="G129" i="2"/>
  <c r="G484" i="2"/>
  <c r="G546" i="2"/>
  <c r="G480" i="2"/>
  <c r="G219" i="2"/>
  <c r="G79" i="2"/>
  <c r="G21" i="2"/>
  <c r="G692" i="2"/>
  <c r="G267" i="2"/>
  <c r="G203" i="2"/>
  <c r="G45" i="2"/>
  <c r="G276" i="2"/>
  <c r="G687" i="2"/>
  <c r="G316" i="2"/>
  <c r="G579" i="2"/>
  <c r="G205" i="2"/>
  <c r="G150" i="2"/>
  <c r="G609" i="2"/>
  <c r="G314" i="2"/>
  <c r="G487" i="2"/>
  <c r="G600" i="2"/>
  <c r="G416" i="2"/>
  <c r="G36" i="2"/>
  <c r="G340" i="2"/>
  <c r="G403" i="2"/>
  <c r="G586" i="2"/>
  <c r="G258" i="2"/>
  <c r="G48" i="2"/>
  <c r="G519" i="2"/>
  <c r="G77" i="2"/>
  <c r="G246" i="2"/>
  <c r="G411" i="2"/>
  <c r="G302" i="2"/>
  <c r="G172" i="2"/>
  <c r="G211" i="2"/>
  <c r="G323" i="2"/>
  <c r="G524" i="2"/>
  <c r="G188" i="2"/>
  <c r="G176" i="2"/>
  <c r="G430" i="2"/>
  <c r="G334" i="2"/>
  <c r="G391" i="2"/>
  <c r="G700" i="2"/>
  <c r="G478" i="2"/>
  <c r="G606" i="2"/>
  <c r="G124" i="2"/>
  <c r="G255" i="2"/>
  <c r="G699" i="2"/>
  <c r="G204" i="2"/>
  <c r="G254" i="2"/>
  <c r="G313" i="2"/>
  <c r="G425" i="2"/>
  <c r="G464" i="2"/>
  <c r="G460" i="2"/>
  <c r="G152" i="2"/>
  <c r="G451" i="2"/>
  <c r="G339" i="2"/>
  <c r="G401" i="2"/>
  <c r="G222" i="2"/>
  <c r="G545" i="2"/>
  <c r="G181" i="2"/>
  <c r="G57" i="2"/>
  <c r="G140" i="2"/>
  <c r="G310" i="2"/>
  <c r="G436" i="2"/>
  <c r="G39" i="2"/>
  <c r="G470" i="2"/>
  <c r="G535" i="2"/>
  <c r="G389" i="2"/>
  <c r="G320" i="2"/>
  <c r="G187" i="2"/>
  <c r="G505" i="2"/>
  <c r="G384" i="2"/>
  <c r="G240" i="2"/>
  <c r="G89" i="2"/>
  <c r="G216" i="2"/>
  <c r="G289" i="2"/>
  <c r="G434" i="2"/>
  <c r="G280" i="2"/>
  <c r="G190" i="2"/>
  <c r="G177" i="2"/>
  <c r="G563" i="2"/>
  <c r="G329" i="2"/>
  <c r="G223" i="2"/>
  <c r="G54" i="2"/>
  <c r="G122" i="2"/>
  <c r="G386" i="2"/>
  <c r="G657" i="2"/>
  <c r="G297" i="2"/>
  <c r="G164" i="2"/>
  <c r="G239" i="2"/>
  <c r="G696" i="2"/>
  <c r="G570" i="2"/>
  <c r="G473" i="2"/>
  <c r="G390" i="2"/>
  <c r="G549" i="2"/>
  <c r="G528" i="2"/>
  <c r="G113" i="2"/>
  <c r="G608" i="2"/>
  <c r="G43" i="2"/>
  <c r="G237" i="2"/>
  <c r="G20" i="2"/>
  <c r="G348" i="2"/>
  <c r="G680" i="2"/>
  <c r="G433" i="2"/>
  <c r="G405" i="2"/>
  <c r="G385" i="2"/>
  <c r="G161" i="2"/>
  <c r="G259" i="2"/>
  <c r="G25" i="2"/>
  <c r="G148" i="2"/>
  <c r="G273" i="2"/>
  <c r="G263" i="2"/>
  <c r="G110" i="2"/>
  <c r="G290" i="2"/>
  <c r="G51" i="2"/>
  <c r="G553" i="2"/>
  <c r="G688" i="2"/>
  <c r="G75" i="2"/>
  <c r="G420" i="2"/>
  <c r="G656" i="2"/>
  <c r="G309" i="2"/>
  <c r="G515" i="2"/>
  <c r="G6" i="2"/>
  <c r="G698" i="2"/>
  <c r="G624" i="2"/>
  <c r="G37" i="2"/>
  <c r="G588" i="2"/>
  <c r="G509" i="2"/>
  <c r="G459" i="2"/>
  <c r="G603" i="2"/>
  <c r="G159" i="2"/>
  <c r="G461" i="2"/>
  <c r="G78" i="2"/>
  <c r="G269" i="2"/>
  <c r="G618" i="2"/>
  <c r="G207" i="2"/>
  <c r="G404" i="2"/>
  <c r="G491" i="2"/>
  <c r="G107" i="2"/>
  <c r="G293" i="2"/>
  <c r="G693" i="2"/>
  <c r="G622" i="2"/>
  <c r="G497" i="2"/>
  <c r="G457" i="2"/>
  <c r="G474" i="2"/>
  <c r="G561" i="2"/>
  <c r="G364" i="2"/>
  <c r="G490" i="2"/>
  <c r="G315" i="2"/>
  <c r="G380" i="2"/>
  <c r="G626" i="2"/>
  <c r="G636" i="2"/>
  <c r="G70" i="2"/>
  <c r="G234" i="2"/>
  <c r="G119" i="2"/>
  <c r="G308" i="2"/>
  <c r="G252" i="2"/>
  <c r="G686" i="2"/>
  <c r="G208" i="2"/>
  <c r="G498" i="2"/>
  <c r="G671" i="2"/>
  <c r="G292" i="2"/>
  <c r="G585" i="2"/>
  <c r="G395" i="2"/>
  <c r="G44" i="2"/>
  <c r="G477" i="2"/>
  <c r="G634" i="2"/>
  <c r="G298" i="2"/>
  <c r="G180" i="2"/>
  <c r="G264" i="2"/>
  <c r="G284" i="2"/>
  <c r="G66" i="2"/>
  <c r="G307" i="2"/>
  <c r="G637" i="2"/>
  <c r="G354" i="2"/>
  <c r="G523" i="2"/>
  <c r="G612" i="2"/>
  <c r="G607" i="2"/>
  <c r="G103" i="2"/>
  <c r="G396" i="2"/>
  <c r="G275" i="2"/>
  <c r="G96" i="2"/>
  <c r="G73" i="2"/>
  <c r="G520" i="2"/>
  <c r="G365" i="2"/>
  <c r="G467" i="2"/>
  <c r="G584" i="2"/>
  <c r="G530" i="2"/>
  <c r="G502" i="2"/>
  <c r="G8" i="2"/>
  <c r="G388" i="2"/>
  <c r="G378" i="2"/>
  <c r="G465" i="2"/>
  <c r="G393" i="2"/>
  <c r="G331" i="2"/>
  <c r="G300" i="2"/>
  <c r="G665" i="2"/>
  <c r="G701" i="2"/>
  <c r="G228" i="2"/>
  <c r="G529" i="2"/>
  <c r="G387" i="2"/>
  <c r="G133" i="2"/>
  <c r="G72" i="2"/>
  <c r="G186" i="2"/>
  <c r="G683" i="2"/>
  <c r="G10" i="2"/>
  <c r="G450" i="2"/>
  <c r="G265" i="2"/>
  <c r="G137" i="2"/>
  <c r="G432" i="2"/>
  <c r="G538" i="2"/>
  <c r="G46" i="2"/>
  <c r="G363" i="2"/>
  <c r="G160" i="2"/>
  <c r="G40" i="2"/>
  <c r="G690" i="2"/>
  <c r="G370" i="2"/>
  <c r="G99" i="2"/>
  <c r="G554" i="2"/>
  <c r="G127" i="2"/>
  <c r="G574" i="2"/>
  <c r="G660" i="2"/>
  <c r="G306" i="2"/>
  <c r="G576" i="2"/>
  <c r="G115" i="2"/>
  <c r="G220" i="2"/>
  <c r="G226" i="2"/>
  <c r="G173" i="2"/>
  <c r="G97" i="2"/>
  <c r="G592" i="2"/>
  <c r="G175" i="2"/>
  <c r="G409" i="2"/>
  <c r="G507" i="2"/>
  <c r="G332" i="2"/>
  <c r="G249" i="2"/>
  <c r="G95" i="2"/>
  <c r="G84" i="2"/>
  <c r="G485" i="2"/>
  <c r="G60" i="2"/>
  <c r="G105" i="2"/>
  <c r="G231" i="2"/>
  <c r="G414" i="2"/>
  <c r="G452" i="2"/>
  <c r="G7" i="2"/>
  <c r="G15" i="2"/>
  <c r="G503" i="2"/>
  <c r="G517" i="2"/>
  <c r="G232" i="2"/>
  <c r="G466" i="2"/>
  <c r="G247" i="2"/>
  <c r="G501" i="2"/>
  <c r="G303" i="2"/>
  <c r="G598" i="2"/>
  <c r="G213" i="2"/>
  <c r="G613" i="2"/>
  <c r="G183" i="2"/>
  <c r="G537" i="2"/>
  <c r="G12" i="2"/>
  <c r="G138" i="2"/>
  <c r="G53" i="2"/>
  <c r="G572" i="2"/>
  <c r="G311" i="2"/>
  <c r="G64" i="2"/>
  <c r="G651" i="2"/>
  <c r="G695" i="2"/>
  <c r="G374" i="2"/>
  <c r="G591" i="2"/>
  <c r="G26" i="2"/>
  <c r="G153" i="2"/>
  <c r="G668" i="2"/>
  <c r="G566" i="2"/>
  <c r="G633" i="2"/>
  <c r="G428" i="2"/>
  <c r="G377" i="2"/>
  <c r="G27" i="2"/>
  <c r="G224" i="2"/>
  <c r="G343" i="2"/>
  <c r="G67" i="2"/>
  <c r="G121" i="2"/>
  <c r="G431" i="2"/>
  <c r="G261" i="2"/>
  <c r="G376" i="2"/>
  <c r="G335" i="2"/>
  <c r="G229" i="2"/>
  <c r="G684" i="2"/>
  <c r="G286" i="2"/>
  <c r="G321" i="2"/>
  <c r="G614" i="2"/>
  <c r="G11" i="2"/>
  <c r="G227" i="2"/>
  <c r="G539" i="2"/>
  <c r="G268" i="2"/>
  <c r="G158" i="2"/>
  <c r="G80" i="2"/>
  <c r="G559" i="2"/>
  <c r="G116" i="2"/>
  <c r="G210" i="2"/>
  <c r="G154" i="2"/>
  <c r="G445" i="2"/>
  <c r="G575" i="2"/>
  <c r="G647" i="2"/>
  <c r="G610" i="2"/>
  <c r="G357" i="2"/>
  <c r="G666" i="2"/>
  <c r="G120" i="2"/>
  <c r="G407" i="2"/>
  <c r="G371" i="2"/>
  <c r="G28" i="2"/>
  <c r="G558" i="2"/>
  <c r="G645" i="2"/>
  <c r="G599" i="2"/>
  <c r="G102" i="2"/>
  <c r="G534" i="2"/>
  <c r="G195" i="2"/>
  <c r="G318" i="2"/>
  <c r="G283" i="2"/>
  <c r="G481" i="2"/>
  <c r="G499" i="2"/>
  <c r="G301" i="2"/>
  <c r="G327" i="2"/>
  <c r="G615" i="2"/>
  <c r="G319" i="2"/>
  <c r="G355" i="2"/>
  <c r="G136" i="2"/>
  <c r="G439" i="2"/>
  <c r="G5" i="2"/>
  <c r="G447" i="2"/>
  <c r="G550" i="2"/>
  <c r="G629" i="2"/>
  <c r="G359" i="2"/>
  <c r="G151" i="2"/>
  <c r="G663" i="2"/>
  <c r="G82" i="2"/>
  <c r="G577" i="2"/>
  <c r="G209" i="2"/>
  <c r="G667" i="2"/>
  <c r="G429" i="2"/>
  <c r="G117" i="2"/>
  <c r="G455" i="2"/>
  <c r="G166" i="2"/>
  <c r="G486" i="2"/>
  <c r="G295" i="2"/>
  <c r="G662" i="2"/>
  <c r="G583" i="2"/>
  <c r="G694" i="2"/>
  <c r="G230" i="2"/>
  <c r="G182" i="2"/>
  <c r="G422" i="2"/>
  <c r="G56" i="2"/>
  <c r="G278" i="2"/>
  <c r="G23" i="2"/>
  <c r="G55" i="2"/>
  <c r="G134" i="2"/>
  <c r="G646" i="2"/>
  <c r="G454" i="2"/>
  <c r="G279" i="2"/>
  <c r="G199" i="2"/>
  <c r="G215" i="2"/>
  <c r="G518" i="2"/>
  <c r="G87" i="2"/>
  <c r="G551" i="2"/>
  <c r="G375" i="2"/>
  <c r="G471" i="2"/>
  <c r="G14" i="1"/>
  <c r="G11" i="1"/>
  <c r="G6" i="1"/>
  <c r="G4" i="1"/>
  <c r="G18" i="1"/>
  <c r="G10" i="1"/>
  <c r="G8" i="1"/>
  <c r="G7" i="1"/>
</calcChain>
</file>

<file path=xl/sharedStrings.xml><?xml version="1.0" encoding="utf-8"?>
<sst xmlns="http://schemas.openxmlformats.org/spreadsheetml/2006/main" count="1775" uniqueCount="1719">
  <si>
    <t>学号</t>
  </si>
  <si>
    <t>学年获得总学分</t>
  </si>
  <si>
    <t>所有课程学年平均绩点</t>
  </si>
  <si>
    <t>学年获得总绩点</t>
  </si>
  <si>
    <t>综合排名值</t>
  </si>
  <si>
    <t>大类综合排名</t>
  </si>
  <si>
    <t>3240104419</t>
  </si>
  <si>
    <t>3240104492</t>
  </si>
  <si>
    <t>3240102924</t>
  </si>
  <si>
    <t>3240101001</t>
  </si>
  <si>
    <t>3240103246</t>
  </si>
  <si>
    <t>3240103762</t>
  </si>
  <si>
    <t>3240104217</t>
  </si>
  <si>
    <t>3240104532</t>
  </si>
  <si>
    <t>3240103988</t>
  </si>
  <si>
    <t>3240101115</t>
  </si>
  <si>
    <t>3240100508</t>
  </si>
  <si>
    <t>3240101094</t>
  </si>
  <si>
    <t>3240100494</t>
  </si>
  <si>
    <t>3240104205</t>
  </si>
  <si>
    <t>3240103309</t>
  </si>
  <si>
    <t>3240104034</t>
  </si>
  <si>
    <t>3240100834</t>
  </si>
  <si>
    <t>3240102798</t>
  </si>
  <si>
    <t>3240103608</t>
  </si>
  <si>
    <t>3240101020</t>
  </si>
  <si>
    <t>3240104285</t>
  </si>
  <si>
    <t>3240106213</t>
  </si>
  <si>
    <t>3240102538</t>
  </si>
  <si>
    <t>3240103367</t>
  </si>
  <si>
    <t>3240104599</t>
  </si>
  <si>
    <t>3240102935</t>
  </si>
  <si>
    <t>3240104515</t>
  </si>
  <si>
    <t>3240104358</t>
  </si>
  <si>
    <t>3240100477</t>
  </si>
  <si>
    <t>3240104433</t>
  </si>
  <si>
    <t>3240100752</t>
  </si>
  <si>
    <t>3240104061</t>
  </si>
  <si>
    <t>3240103386</t>
  </si>
  <si>
    <t>3240105439</t>
  </si>
  <si>
    <t>3240100706</t>
  </si>
  <si>
    <t>3240103113</t>
  </si>
  <si>
    <t>3240104343</t>
  </si>
  <si>
    <t>3240102964</t>
  </si>
  <si>
    <t>3240102888</t>
  </si>
  <si>
    <t>3240102873</t>
  </si>
  <si>
    <t>3240103960</t>
  </si>
  <si>
    <t>3240104198</t>
  </si>
  <si>
    <t>3240103695</t>
  </si>
  <si>
    <t>3240100818</t>
  </si>
  <si>
    <t>3240102796</t>
  </si>
  <si>
    <t>3240104607</t>
  </si>
  <si>
    <t>3240102055</t>
  </si>
  <si>
    <t>3240102318</t>
  </si>
  <si>
    <t>3240103803</t>
  </si>
  <si>
    <t>3240103590</t>
  </si>
  <si>
    <t>3240102750</t>
  </si>
  <si>
    <t>3240104123</t>
  </si>
  <si>
    <t>3240103504</t>
  </si>
  <si>
    <t>3240105440</t>
  </si>
  <si>
    <t>3240102526</t>
  </si>
  <si>
    <t>3240103555</t>
  </si>
  <si>
    <t>3240104520</t>
  </si>
  <si>
    <t>3240104640</t>
  </si>
  <si>
    <t>3240104586</t>
  </si>
  <si>
    <t>3240102885</t>
  </si>
  <si>
    <t>3240104868</t>
  </si>
  <si>
    <t>3240103638</t>
  </si>
  <si>
    <t>3240102947</t>
  </si>
  <si>
    <t>3240102782</t>
  </si>
  <si>
    <t>3240104476</t>
  </si>
  <si>
    <t>3240103174</t>
  </si>
  <si>
    <t>3240104135</t>
  </si>
  <si>
    <t>3240103626</t>
  </si>
  <si>
    <t>3240103404</t>
  </si>
  <si>
    <t>3240104414</t>
  </si>
  <si>
    <t>3240103471</t>
  </si>
  <si>
    <t>3240102910</t>
  </si>
  <si>
    <t>3240104469</t>
  </si>
  <si>
    <t>3240102776</t>
  </si>
  <si>
    <t>3240102457</t>
  </si>
  <si>
    <t>3240104867</t>
  </si>
  <si>
    <t>3240100296</t>
  </si>
  <si>
    <t>3240102849</t>
  </si>
  <si>
    <t>3240103383</t>
  </si>
  <si>
    <t>3240102938</t>
  </si>
  <si>
    <t>3240103616</t>
  </si>
  <si>
    <t>3240104875</t>
  </si>
  <si>
    <t>3240103881</t>
  </si>
  <si>
    <t>3240103002</t>
  </si>
  <si>
    <t>3240104155</t>
  </si>
  <si>
    <t>3240103308</t>
  </si>
  <si>
    <t>3240104224</t>
  </si>
  <si>
    <t>3240103259</t>
  </si>
  <si>
    <t>3240101654</t>
  </si>
  <si>
    <t>3240103912</t>
  </si>
  <si>
    <t>3240100371</t>
  </si>
  <si>
    <t>3240100860</t>
  </si>
  <si>
    <t>3240100935</t>
  </si>
  <si>
    <t>3240102837</t>
  </si>
  <si>
    <t>3240104983</t>
  </si>
  <si>
    <t>3240103302</t>
  </si>
  <si>
    <t>3240102940</t>
  </si>
  <si>
    <t>3240103205</t>
  </si>
  <si>
    <t>3240103658</t>
  </si>
  <si>
    <t>3240103412</t>
  </si>
  <si>
    <t>3240104022</t>
  </si>
  <si>
    <t>3240103587</t>
  </si>
  <si>
    <t>3240103041</t>
  </si>
  <si>
    <t>3240100527</t>
  </si>
  <si>
    <t>3240102184</t>
  </si>
  <si>
    <t>3240103271</t>
  </si>
  <si>
    <t>3240104107</t>
  </si>
  <si>
    <t>3240103056</t>
  </si>
  <si>
    <t>3240101006</t>
  </si>
  <si>
    <t>3240104023</t>
  </si>
  <si>
    <t>3240103709</t>
  </si>
  <si>
    <t>3240100231</t>
  </si>
  <si>
    <t>3240103866</t>
  </si>
  <si>
    <t>3240104610</t>
  </si>
  <si>
    <t>3240103020</t>
  </si>
  <si>
    <t>3240103461</t>
  </si>
  <si>
    <t>3240103977</t>
  </si>
  <si>
    <t>3240103823</t>
  </si>
  <si>
    <t>3240104318</t>
  </si>
  <si>
    <t>3240100217</t>
  </si>
  <si>
    <t>3240102991</t>
  </si>
  <si>
    <t>3240101028</t>
  </si>
  <si>
    <t>3240104862</t>
  </si>
  <si>
    <t>3240103172</t>
  </si>
  <si>
    <t>3240100750</t>
  </si>
  <si>
    <t>3240106191</t>
  </si>
  <si>
    <t>3240103111</t>
  </si>
  <si>
    <t>3240105186</t>
  </si>
  <si>
    <t>3240103417</t>
  </si>
  <si>
    <t>3240105658</t>
  </si>
  <si>
    <t>3240103260</t>
  </si>
  <si>
    <t>3240103713</t>
  </si>
  <si>
    <t>3240103745</t>
  </si>
  <si>
    <t>3240105509</t>
  </si>
  <si>
    <t>3240101871</t>
  </si>
  <si>
    <t>3240103730</t>
  </si>
  <si>
    <t>3240100478</t>
  </si>
  <si>
    <t>3240102952</t>
  </si>
  <si>
    <t>3240103847</t>
  </si>
  <si>
    <t>3240103676</t>
  </si>
  <si>
    <t>3240105086</t>
  </si>
  <si>
    <t>3240104233</t>
  </si>
  <si>
    <t>3240103446</t>
  </si>
  <si>
    <t>3240100997</t>
  </si>
  <si>
    <t>3240104119</t>
  </si>
  <si>
    <t>3240103275</t>
  </si>
  <si>
    <t>3240104295</t>
  </si>
  <si>
    <t>3240104961</t>
  </si>
  <si>
    <t>3240105104</t>
  </si>
  <si>
    <t>3240103010</t>
  </si>
  <si>
    <t>3240103556</t>
  </si>
  <si>
    <t>3240100506</t>
  </si>
  <si>
    <t>3240102922</t>
  </si>
  <si>
    <t>3240103693</t>
  </si>
  <si>
    <t>3240103560</t>
  </si>
  <si>
    <t>3240103364</t>
  </si>
  <si>
    <t>3240103106</t>
  </si>
  <si>
    <t>3240100544</t>
  </si>
  <si>
    <t>3240103965</t>
  </si>
  <si>
    <t>3240103799</t>
  </si>
  <si>
    <t>3240104471</t>
  </si>
  <si>
    <t>3240103769</t>
  </si>
  <si>
    <t>3240105354</t>
  </si>
  <si>
    <t>3240104619</t>
  </si>
  <si>
    <t>3240102936</t>
  </si>
  <si>
    <t>3240103747</t>
  </si>
  <si>
    <t>3240105103</t>
  </si>
  <si>
    <t>3240102198</t>
  </si>
  <si>
    <t>3240104465</t>
  </si>
  <si>
    <t>3240103589</t>
  </si>
  <si>
    <t>3240103686</t>
  </si>
  <si>
    <t>3240106181</t>
  </si>
  <si>
    <t>3240104509</t>
  </si>
  <si>
    <t>3240103886</t>
  </si>
  <si>
    <t>3240103705</t>
  </si>
  <si>
    <t>3240100744</t>
  </si>
  <si>
    <t>3240104510</t>
  </si>
  <si>
    <t>3240104208</t>
  </si>
  <si>
    <t>3240103802</t>
  </si>
  <si>
    <t>3240101881</t>
  </si>
  <si>
    <t>3240100236</t>
  </si>
  <si>
    <t>3240103950</t>
  </si>
  <si>
    <t>3240102825</t>
  </si>
  <si>
    <t>3240103880</t>
  </si>
  <si>
    <t>3240100988</t>
  </si>
  <si>
    <t>3240103167</t>
  </si>
  <si>
    <t>3240105035</t>
  </si>
  <si>
    <t>3240100887</t>
  </si>
  <si>
    <t>3240103137</t>
  </si>
  <si>
    <t>3240103000</t>
  </si>
  <si>
    <t>3240103723</t>
  </si>
  <si>
    <t>3240102961</t>
  </si>
  <si>
    <t>3240103322</t>
  </si>
  <si>
    <t>3240103959</t>
  </si>
  <si>
    <t>3240104066</t>
  </si>
  <si>
    <t>3240100891</t>
  </si>
  <si>
    <t>3240104869</t>
  </si>
  <si>
    <t>3240101876</t>
  </si>
  <si>
    <t>3240104605</t>
  </si>
  <si>
    <t>3240104573</t>
  </si>
  <si>
    <t>3240104108</t>
  </si>
  <si>
    <t>3240101670</t>
  </si>
  <si>
    <t>3240104028</t>
  </si>
  <si>
    <t>3240105526</t>
  </si>
  <si>
    <t>3240104964</t>
  </si>
  <si>
    <t>3240104876</t>
  </si>
  <si>
    <t>3240103884</t>
  </si>
  <si>
    <t>3240102784</t>
  </si>
  <si>
    <t>3240101601</t>
  </si>
  <si>
    <t>3240106364</t>
  </si>
  <si>
    <t>3240101729</t>
  </si>
  <si>
    <t>3240101655</t>
  </si>
  <si>
    <t>3240102226</t>
  </si>
  <si>
    <t>3240104188</t>
  </si>
  <si>
    <t>3240100525</t>
  </si>
  <si>
    <t>3240103272</t>
  </si>
  <si>
    <t>3240102950</t>
  </si>
  <si>
    <t>3240100831</t>
  </si>
  <si>
    <t>3240101598</t>
  </si>
  <si>
    <t>3240103566</t>
  </si>
  <si>
    <t>3240104265</t>
  </si>
  <si>
    <t>3240101875</t>
  </si>
  <si>
    <t>3240106370</t>
  </si>
  <si>
    <t>3240102875</t>
  </si>
  <si>
    <t>3240100964</t>
  </si>
  <si>
    <t>3240105432</t>
  </si>
  <si>
    <t>3240100830</t>
  </si>
  <si>
    <t>3240103937</t>
  </si>
  <si>
    <t>3240103653</t>
  </si>
  <si>
    <t>3240102746</t>
  </si>
  <si>
    <t>3240106143</t>
  </si>
  <si>
    <t>3240101039</t>
  </si>
  <si>
    <t>3240103147</t>
  </si>
  <si>
    <t>3240103224</t>
  </si>
  <si>
    <t>3240104590</t>
  </si>
  <si>
    <t>3240100564</t>
  </si>
  <si>
    <t>3240102217</t>
  </si>
  <si>
    <t>3240104356</t>
  </si>
  <si>
    <t>3240103413</t>
  </si>
  <si>
    <t>3240103331</t>
  </si>
  <si>
    <t>3240100729</t>
  </si>
  <si>
    <t>3240104449</t>
  </si>
  <si>
    <t>3240100191</t>
  </si>
  <si>
    <t>3240100522</t>
  </si>
  <si>
    <t>3240103070</t>
  </si>
  <si>
    <t>3240102990</t>
  </si>
  <si>
    <t>3240103665</t>
  </si>
  <si>
    <t>3240100809</t>
  </si>
  <si>
    <t>3240102492</t>
  </si>
  <si>
    <t>3240104457</t>
  </si>
  <si>
    <t>3240103419</t>
  </si>
  <si>
    <t>3240103873</t>
  </si>
  <si>
    <t>3240104759</t>
  </si>
  <si>
    <t>3240103510</t>
  </si>
  <si>
    <t>3240101576</t>
  </si>
  <si>
    <t>3240103453</t>
  </si>
  <si>
    <t>3240101040</t>
  </si>
  <si>
    <t>3240103563</t>
  </si>
  <si>
    <t>3240102997</t>
  </si>
  <si>
    <t>3240100901</t>
  </si>
  <si>
    <t>3240104214</t>
  </si>
  <si>
    <t>3240100247</t>
  </si>
  <si>
    <t>3240103401</t>
  </si>
  <si>
    <t>3240104448</t>
  </si>
  <si>
    <t>3240104978</t>
  </si>
  <si>
    <t>3240100999</t>
  </si>
  <si>
    <t>3240103837</t>
  </si>
  <si>
    <t>3240105963</t>
  </si>
  <si>
    <t>3240104201</t>
  </si>
  <si>
    <t>3240104432</t>
  </si>
  <si>
    <t>3240102901</t>
  </si>
  <si>
    <t>3240104686</t>
  </si>
  <si>
    <t>3240102903</t>
  </si>
  <si>
    <t>3240103773</t>
  </si>
  <si>
    <t>3240105573</t>
  </si>
  <si>
    <t>3240103846</t>
  </si>
  <si>
    <t>3240102775</t>
  </si>
  <si>
    <t>3240105498</t>
  </si>
  <si>
    <t>3240100226</t>
  </si>
  <si>
    <t>3240104094</t>
  </si>
  <si>
    <t>3240103996</t>
  </si>
  <si>
    <t>3240100800</t>
  </si>
  <si>
    <t>3240102795</t>
  </si>
  <si>
    <t>3240102759</t>
  </si>
  <si>
    <t>3240106138</t>
  </si>
  <si>
    <t>3240104152</t>
  </si>
  <si>
    <t>3240103216</t>
  </si>
  <si>
    <t>3240103452</t>
  </si>
  <si>
    <t>3240103378</t>
  </si>
  <si>
    <t>3240103786</t>
  </si>
  <si>
    <t>3240100541</t>
  </si>
  <si>
    <t>3240106365</t>
  </si>
  <si>
    <t>3240104232</t>
  </si>
  <si>
    <t>3240102987</t>
  </si>
  <si>
    <t>3240103017</t>
  </si>
  <si>
    <t>3240101510</t>
  </si>
  <si>
    <t>3240103202</t>
  </si>
  <si>
    <t>3240101101</t>
  </si>
  <si>
    <t>3240102982</t>
  </si>
  <si>
    <t>3240104154</t>
  </si>
  <si>
    <t>3240103758</t>
  </si>
  <si>
    <t>3240104424</t>
  </si>
  <si>
    <t>3240104294</t>
  </si>
  <si>
    <t>3240102963</t>
  </si>
  <si>
    <t>3240103836</t>
  </si>
  <si>
    <t>3240104270</t>
  </si>
  <si>
    <t>3240104167</t>
  </si>
  <si>
    <t>3240102827</t>
  </si>
  <si>
    <t>3240103003</t>
  </si>
  <si>
    <t>3240103552</t>
  </si>
  <si>
    <t>3240104242</t>
  </si>
  <si>
    <t>3240103192</t>
  </si>
  <si>
    <t>3240103371</t>
  </si>
  <si>
    <t>3240103170</t>
  </si>
  <si>
    <t>3240103274</t>
  </si>
  <si>
    <t>3240100376</t>
  </si>
  <si>
    <t>3240106463</t>
  </si>
  <si>
    <t>3240103585</t>
  </si>
  <si>
    <t>3240103120</t>
  </si>
  <si>
    <t>3240104183</t>
  </si>
  <si>
    <t>3240103460</t>
  </si>
  <si>
    <t>3240103340</t>
  </si>
  <si>
    <t>3240100732</t>
  </si>
  <si>
    <t>3240104084</t>
  </si>
  <si>
    <t>3240101662</t>
  </si>
  <si>
    <t>3240103296</t>
  </si>
  <si>
    <t>3240103724</t>
  </si>
  <si>
    <t>3240104472</t>
  </si>
  <si>
    <t>3240100718</t>
  </si>
  <si>
    <t>3240104008</t>
  </si>
  <si>
    <t>3240103024</t>
  </si>
  <si>
    <t>3240102742</t>
  </si>
  <si>
    <t>3240103438</t>
  </si>
  <si>
    <t>3240104774</t>
  </si>
  <si>
    <t>3240104429</t>
  </si>
  <si>
    <t>3240102765</t>
  </si>
  <si>
    <t>3240100944</t>
  </si>
  <si>
    <t>3240103428</t>
  </si>
  <si>
    <t>3240103418</t>
  </si>
  <si>
    <t>3240105345</t>
  </si>
  <si>
    <t>3240105295</t>
  </si>
  <si>
    <t>3240103163</t>
  </si>
  <si>
    <t>3240104423</t>
  </si>
  <si>
    <t>3240103335</t>
  </si>
  <si>
    <t>3240100957</t>
  </si>
  <si>
    <t>3240102956</t>
  </si>
  <si>
    <t>3240100219</t>
  </si>
  <si>
    <t>3240101593</t>
  </si>
  <si>
    <t>3240103794</t>
  </si>
  <si>
    <t>3240104861</t>
  </si>
  <si>
    <t>3240103749</t>
  </si>
  <si>
    <t>3240103904</t>
  </si>
  <si>
    <t>3240103569</t>
  </si>
  <si>
    <t>3240101831</t>
  </si>
  <si>
    <t>3240105799</t>
  </si>
  <si>
    <t>3240102744</t>
  </si>
  <si>
    <t>3240103304</t>
  </si>
  <si>
    <t>3240100206</t>
  </si>
  <si>
    <t>3240106104</t>
  </si>
  <si>
    <t>3240104177</t>
  </si>
  <si>
    <t>3240102393</t>
  </si>
  <si>
    <t>3240103486</t>
  </si>
  <si>
    <t>3240104345</t>
  </si>
  <si>
    <t>3240105500</t>
  </si>
  <si>
    <t>3240103602</t>
  </si>
  <si>
    <t>3240101710</t>
  </si>
  <si>
    <t>3240103906</t>
  </si>
  <si>
    <t>3240103630</t>
  </si>
  <si>
    <t>3240101613</t>
  </si>
  <si>
    <t>3240105116</t>
  </si>
  <si>
    <t>3240103512</t>
  </si>
  <si>
    <t>3240105969</t>
  </si>
  <si>
    <t>3240102541</t>
  </si>
  <si>
    <t>3240103543</t>
  </si>
  <si>
    <t>3240103542</t>
  </si>
  <si>
    <t>3240103396</t>
  </si>
  <si>
    <t>3240103688</t>
  </si>
  <si>
    <t>3240102891</t>
  </si>
  <si>
    <t>3240102914</t>
  </si>
  <si>
    <t>3240103627</t>
  </si>
  <si>
    <t>3240105085</t>
  </si>
  <si>
    <t>3240103970</t>
  </si>
  <si>
    <t>3240103865</t>
  </si>
  <si>
    <t>3240101660</t>
  </si>
  <si>
    <t>3240100598</t>
  </si>
  <si>
    <t>3240102394</t>
  </si>
  <si>
    <t>3240101509</t>
  </si>
  <si>
    <t>3240106369</t>
  </si>
  <si>
    <t>3240100878</t>
  </si>
  <si>
    <t>3240102818</t>
  </si>
  <si>
    <t>3240103196</t>
  </si>
  <si>
    <t>3240104766</t>
  </si>
  <si>
    <t>3240104786</t>
  </si>
  <si>
    <t>3240104223</t>
  </si>
  <si>
    <t>3240102979</t>
  </si>
  <si>
    <t>3240100577</t>
  </si>
  <si>
    <t>3240101870</t>
  </si>
  <si>
    <t>3240105095</t>
  </si>
  <si>
    <t>3240103132</t>
  </si>
  <si>
    <t>3240103116</t>
  </si>
  <si>
    <t>3240103844</t>
  </si>
  <si>
    <t>3240104513</t>
  </si>
  <si>
    <t>3240100992</t>
  </si>
  <si>
    <t>3240103531</t>
  </si>
  <si>
    <t>3240105549</t>
  </si>
  <si>
    <t>3240104138</t>
  </si>
  <si>
    <t>3240101696</t>
  </si>
  <si>
    <t>3240104483</t>
  </si>
  <si>
    <t>3240104996</t>
  </si>
  <si>
    <t>3240104575</t>
  </si>
  <si>
    <t>3240103528</t>
  </si>
  <si>
    <t>3240106475</t>
  </si>
  <si>
    <t>3240101075</t>
  </si>
  <si>
    <t>3240103023</t>
  </si>
  <si>
    <t>3240105118</t>
  </si>
  <si>
    <t>3240103499</t>
  </si>
  <si>
    <t>3240101425</t>
  </si>
  <si>
    <t>3240100344</t>
  </si>
  <si>
    <t>3240105052</t>
  </si>
  <si>
    <t>3240102215</t>
  </si>
  <si>
    <t>3240105453</t>
  </si>
  <si>
    <t>3240100520</t>
  </si>
  <si>
    <t>3240103691</t>
  </si>
  <si>
    <t>3240100227</t>
  </si>
  <si>
    <t>3240104878</t>
  </si>
  <si>
    <t>3240104485</t>
  </si>
  <si>
    <t>3240102208</t>
  </si>
  <si>
    <t>3240103922</t>
  </si>
  <si>
    <t>3240105040</t>
  </si>
  <si>
    <t>3240106071</t>
  </si>
  <si>
    <t>3240103670</t>
  </si>
  <si>
    <t>3240104102</t>
  </si>
  <si>
    <t>3240102769</t>
  </si>
  <si>
    <t>3240103818</t>
  </si>
  <si>
    <t>3240100821</t>
  </si>
  <si>
    <t>3240103141</t>
  </si>
  <si>
    <t>3240103213</t>
  </si>
  <si>
    <t>3240104452</t>
  </si>
  <si>
    <t>3240102928</t>
  </si>
  <si>
    <t>3240104248</t>
  </si>
  <si>
    <t>3240103332</t>
  </si>
  <si>
    <t>3240104328</t>
  </si>
  <si>
    <t>3240106101</t>
  </si>
  <si>
    <t>3240101671</t>
  </si>
  <si>
    <t>3240103402</t>
  </si>
  <si>
    <t>3240104632</t>
  </si>
  <si>
    <t>3240102146</t>
  </si>
  <si>
    <t>3240104859</t>
  </si>
  <si>
    <t>3240102802</t>
  </si>
  <si>
    <t>3240104384</t>
  </si>
  <si>
    <t>3240101035</t>
  </si>
  <si>
    <t>3240106057</t>
  </si>
  <si>
    <t>3240106470</t>
  </si>
  <si>
    <t>3240105111</t>
  </si>
  <si>
    <t>3240102920</t>
  </si>
  <si>
    <t>3240104320</t>
  </si>
  <si>
    <t>3240101952</t>
  </si>
  <si>
    <t>3240106467</t>
  </si>
  <si>
    <t>3240102387</t>
  </si>
  <si>
    <t>3240104172</t>
  </si>
  <si>
    <t>3240103832</t>
  </si>
  <si>
    <t>3240103477</t>
  </si>
  <si>
    <t>3240102153</t>
  </si>
  <si>
    <t>3240103972</t>
  </si>
  <si>
    <t>3240100283</t>
  </si>
  <si>
    <t>3240101828</t>
  </si>
  <si>
    <t>3240103957</t>
  </si>
  <si>
    <t>3240102260</t>
  </si>
  <si>
    <t>3240103890</t>
  </si>
  <si>
    <t>3240102988</t>
  </si>
  <si>
    <t>3240101700</t>
  </si>
  <si>
    <t>3240101928</t>
  </si>
  <si>
    <t>3240103362</t>
  </si>
  <si>
    <t>3240103801</t>
  </si>
  <si>
    <t>3240105090</t>
  </si>
  <si>
    <t>3240103385</t>
  </si>
  <si>
    <t>3240103479</t>
  </si>
  <si>
    <t>3240103430</t>
  </si>
  <si>
    <t>3240105200</t>
  </si>
  <si>
    <t>3240102081</t>
  </si>
  <si>
    <t>3240104323</t>
  </si>
  <si>
    <t>3240106027</t>
  </si>
  <si>
    <t>3240103870</t>
  </si>
  <si>
    <t>3240102883</t>
  </si>
  <si>
    <t>3240104288</t>
  </si>
  <si>
    <t>3240101585</t>
  </si>
  <si>
    <t>3240102850</t>
  </si>
  <si>
    <t>3240106409</t>
  </si>
  <si>
    <t>3240104257</t>
  </si>
  <si>
    <t>3240103985</t>
  </si>
  <si>
    <t>3240103060</t>
  </si>
  <si>
    <t>3240106176</t>
  </si>
  <si>
    <t>3240102388</t>
  </si>
  <si>
    <t>3240103133</t>
  </si>
  <si>
    <t>3240100361</t>
  </si>
  <si>
    <t>3240100560</t>
  </si>
  <si>
    <t>3240101008</t>
  </si>
  <si>
    <t>3240105214</t>
  </si>
  <si>
    <t>3240105518</t>
  </si>
  <si>
    <t>3240104518</t>
  </si>
  <si>
    <t>3240105978</t>
  </si>
  <si>
    <t>3240105122</t>
  </si>
  <si>
    <t>3240106066</t>
  </si>
  <si>
    <t>3240100322</t>
  </si>
  <si>
    <t>3240102859</t>
  </si>
  <si>
    <t>3240102863</t>
  </si>
  <si>
    <t>3240103223</t>
  </si>
  <si>
    <t>3240104877</t>
  </si>
  <si>
    <t>3240103854</t>
  </si>
  <si>
    <t>3240100917</t>
  </si>
  <si>
    <t>3240103761</t>
  </si>
  <si>
    <t>3240100429</t>
  </si>
  <si>
    <t>3240103270</t>
  </si>
  <si>
    <t>3240106005</t>
  </si>
  <si>
    <t>3240103771</t>
  </si>
  <si>
    <t>3240100193</t>
  </si>
  <si>
    <t>3240105210</t>
  </si>
  <si>
    <t>3240102100</t>
  </si>
  <si>
    <t>3240104860</t>
  </si>
  <si>
    <t>3240103326</t>
  </si>
  <si>
    <t>3240101907</t>
  </si>
  <si>
    <t>3240103110</t>
  </si>
  <si>
    <t>3240100747</t>
  </si>
  <si>
    <t>3240101794</t>
  </si>
  <si>
    <t>3240101143</t>
  </si>
  <si>
    <t>3240102777</t>
  </si>
  <si>
    <t>3240104959</t>
  </si>
  <si>
    <t>3240102770</t>
  </si>
  <si>
    <t>3240101904</t>
  </si>
  <si>
    <t>3240104553</t>
  </si>
  <si>
    <t>3240102732</t>
  </si>
  <si>
    <t>3240104570</t>
  </si>
  <si>
    <t>3240104149</t>
  </si>
  <si>
    <t>3240103138</t>
  </si>
  <si>
    <t>3240101595</t>
  </si>
  <si>
    <t>3240102145</t>
  </si>
  <si>
    <t>3240103473</t>
  </si>
  <si>
    <t>3240106466</t>
  </si>
  <si>
    <t>3240103450</t>
  </si>
  <si>
    <t>3240103757</t>
  </si>
  <si>
    <t>3240103744</t>
  </si>
  <si>
    <t>3240103090</t>
  </si>
  <si>
    <t>3240104409</t>
  </si>
  <si>
    <t>3240103092</t>
  </si>
  <si>
    <t>3240103156</t>
  </si>
  <si>
    <t>3240103661</t>
  </si>
  <si>
    <t>3240105009</t>
  </si>
  <si>
    <t>3240105121</t>
  </si>
  <si>
    <t>3240101501</t>
  </si>
  <si>
    <t>3240101691</t>
  </si>
  <si>
    <t>3240101690</t>
  </si>
  <si>
    <t>3240101605</t>
  </si>
  <si>
    <t>3240102225</t>
  </si>
  <si>
    <t>3240104398</t>
  </si>
  <si>
    <t>3240104531</t>
  </si>
  <si>
    <t>3240106028</t>
  </si>
  <si>
    <t>3240103610</t>
  </si>
  <si>
    <t>3240103850</t>
  </si>
  <si>
    <t>3240104337</t>
  </si>
  <si>
    <t>3240101919</t>
  </si>
  <si>
    <t>3240101132</t>
  </si>
  <si>
    <t>3240103045</t>
  </si>
  <si>
    <t>3240104787</t>
  </si>
  <si>
    <t>3240104794</t>
  </si>
  <si>
    <t>3240102797</t>
  </si>
  <si>
    <t>3240104407</t>
  </si>
  <si>
    <t>3240105032</t>
  </si>
  <si>
    <t>3240106049</t>
  </si>
  <si>
    <t>3240101783</t>
  </si>
  <si>
    <t>3240105207</t>
  </si>
  <si>
    <t>3240103101</t>
  </si>
  <si>
    <t>3240103733</t>
  </si>
  <si>
    <t>3240103391</t>
  </si>
  <si>
    <t>3240101854</t>
  </si>
  <si>
    <t>3240104055</t>
  </si>
  <si>
    <t>3240101799</t>
  </si>
  <si>
    <t>3240101911</t>
  </si>
  <si>
    <t>3240103478</t>
  </si>
  <si>
    <t>3240103666</t>
  </si>
  <si>
    <t>3240104105</t>
  </si>
  <si>
    <t>3240104506</t>
  </si>
  <si>
    <t>3240102781</t>
  </si>
  <si>
    <t>3240104321</t>
  </si>
  <si>
    <t>3240100726</t>
  </si>
  <si>
    <t>3240102468</t>
  </si>
  <si>
    <t>3240105101</t>
  </si>
  <si>
    <t>3240105408</t>
  </si>
  <si>
    <t>3240101901</t>
  </si>
  <si>
    <t>3240104349</t>
  </si>
  <si>
    <t>3240101498</t>
  </si>
  <si>
    <t>3240101516</t>
  </si>
  <si>
    <t>3240104425</t>
  </si>
  <si>
    <t>3240103882</t>
  </si>
  <si>
    <t>3240102093</t>
  </si>
  <si>
    <t>3240104277</t>
  </si>
  <si>
    <t>3240104442</t>
  </si>
  <si>
    <t>3240101883</t>
  </si>
  <si>
    <t>3240100432</t>
  </si>
  <si>
    <t>3240103382</t>
  </si>
  <si>
    <t>3240102902</t>
  </si>
  <si>
    <t>3240102392</t>
  </si>
  <si>
    <t>3240101879</t>
  </si>
  <si>
    <t>3240100646</t>
  </si>
  <si>
    <t>3240105784</t>
  </si>
  <si>
    <t>3240102934</t>
  </si>
  <si>
    <t>3240105044</t>
  </si>
  <si>
    <t>3240104132</t>
  </si>
  <si>
    <t>3240105772</t>
  </si>
  <si>
    <t>3240106032</t>
  </si>
  <si>
    <t>3240105160</t>
  </si>
  <si>
    <t>3240103125</t>
  </si>
  <si>
    <t>3240103635</t>
  </si>
  <si>
    <t>3240103278</t>
  </si>
  <si>
    <t>3240105460</t>
  </si>
  <si>
    <t>3240104129</t>
  </si>
  <si>
    <t>3240104758</t>
  </si>
  <si>
    <t>3240104399</t>
  </si>
  <si>
    <t>3240104548</t>
  </si>
  <si>
    <t>3240103144</t>
  </si>
  <si>
    <t>3240103891</t>
  </si>
  <si>
    <t>3240104976</t>
  </si>
  <si>
    <t>3240105757</t>
  </si>
  <si>
    <t>3240105495</t>
  </si>
  <si>
    <t>3240104051</t>
  </si>
  <si>
    <t>3240101497</t>
  </si>
  <si>
    <t>3240101865</t>
  </si>
  <si>
    <t>3240104648</t>
  </si>
  <si>
    <t>3240102955</t>
  </si>
  <si>
    <t>3240101705</t>
  </si>
  <si>
    <t>3240105766</t>
  </si>
  <si>
    <t>3240101642</t>
  </si>
  <si>
    <t>3240104371</t>
  </si>
  <si>
    <t>3240104110</t>
  </si>
  <si>
    <t>3240105456</t>
  </si>
  <si>
    <t>3240105546</t>
  </si>
  <si>
    <t>3240101896</t>
  </si>
  <si>
    <t>3240106063</t>
  </si>
  <si>
    <t>3240103232</t>
  </si>
  <si>
    <t>3240103325</t>
  </si>
  <si>
    <t>3240100779</t>
  </si>
  <si>
    <t>3240102835</t>
  </si>
  <si>
    <t>3240103220</t>
  </si>
  <si>
    <t>3240103005</t>
  </si>
  <si>
    <t>3240101674</t>
  </si>
  <si>
    <t>3240104163</t>
  </si>
  <si>
    <t>3240103001</t>
  </si>
  <si>
    <t>3240103755</t>
  </si>
  <si>
    <t>3240102916</t>
  </si>
  <si>
    <t>3240102149</t>
  </si>
  <si>
    <t>3240106047</t>
  </si>
  <si>
    <t>3240103400</t>
  </si>
  <si>
    <t>3240105763</t>
  </si>
  <si>
    <t>3240103421</t>
  </si>
  <si>
    <t>3240104682</t>
  </si>
  <si>
    <t>3240105666</t>
  </si>
  <si>
    <t>3240103091</t>
  </si>
  <si>
    <t>3240104613</t>
  </si>
  <si>
    <t>3240104980</t>
  </si>
  <si>
    <t>3240102876</t>
  </si>
  <si>
    <t>3240101797</t>
  </si>
  <si>
    <t>3240101511</t>
  </si>
  <si>
    <t>3240106088</t>
  </si>
  <si>
    <t>3240103838</t>
  </si>
  <si>
    <t>3240102771</t>
  </si>
  <si>
    <t>3240105672</t>
  </si>
  <si>
    <t>3240103507</t>
  </si>
  <si>
    <t>3240103835</t>
  </si>
  <si>
    <t>3240105487</t>
  </si>
  <si>
    <t>3240100589</t>
  </si>
  <si>
    <t>3240103221</t>
  </si>
  <si>
    <t>3240106105</t>
  </si>
  <si>
    <t>3240100695</t>
  </si>
  <si>
    <t>3240106398</t>
  </si>
  <si>
    <t>3240106170</t>
  </si>
  <si>
    <t>3240105049</t>
  </si>
  <si>
    <t>3240105761</t>
  </si>
  <si>
    <t>3240103410</t>
  </si>
  <si>
    <t>3240104142</t>
  </si>
  <si>
    <t>3240103242</t>
  </si>
  <si>
    <t>3240105566</t>
  </si>
  <si>
    <t>3240103395</t>
  </si>
  <si>
    <t>3240104103</t>
  </si>
  <si>
    <t>3240102346</t>
  </si>
  <si>
    <t>3240103148</t>
  </si>
  <si>
    <t>3240101728</t>
  </si>
  <si>
    <t>3240106464</t>
  </si>
  <si>
    <t>3240106089</t>
  </si>
  <si>
    <t>3240103986</t>
  </si>
  <si>
    <t>3240104661</t>
  </si>
  <si>
    <t>3240104881</t>
  </si>
  <si>
    <t>3240101572</t>
  </si>
  <si>
    <t>3240105747</t>
  </si>
  <si>
    <t>3240105472</t>
  </si>
  <si>
    <t>3240103099</t>
  </si>
  <si>
    <t>3240103122</t>
  </si>
  <si>
    <t>3240104633</t>
  </si>
  <si>
    <t>3240105490</t>
  </si>
  <si>
    <t>3240105521</t>
  </si>
  <si>
    <t>3240103300</t>
  </si>
  <si>
    <t>3240106090</t>
  </si>
  <si>
    <t>3240104799</t>
  </si>
  <si>
    <t>3240105669</t>
  </si>
  <si>
    <t>3240103433</t>
  </si>
  <si>
    <t>3240105348</t>
  </si>
  <si>
    <t>3240106043</t>
  </si>
  <si>
    <t>3240103093</t>
  </si>
  <si>
    <t>3240102203</t>
  </si>
  <si>
    <t>3240103451</t>
  </si>
  <si>
    <t>3240101418</t>
  </si>
  <si>
    <t>3240104109</t>
  </si>
  <si>
    <t>3240105791</t>
  </si>
  <si>
    <t>3240104793</t>
  </si>
  <si>
    <t>3240102824</t>
  </si>
  <si>
    <t>3240101882</t>
  </si>
  <si>
    <t>3240106068</t>
  </si>
  <si>
    <t>3240102264</t>
  </si>
  <si>
    <t>3240103203</t>
  </si>
  <si>
    <t>3240105079</t>
  </si>
  <si>
    <t>3240104778</t>
  </si>
  <si>
    <t>3240102337</t>
  </si>
  <si>
    <t>3240100266</t>
  </si>
  <si>
    <t>3240104128</t>
  </si>
  <si>
    <t>3240104019</t>
  </si>
  <si>
    <t>3240104481</t>
  </si>
  <si>
    <t>3240104612</t>
  </si>
  <si>
    <t>3240100833</t>
  </si>
  <si>
    <t>3240103077</t>
  </si>
  <si>
    <t>3240102749</t>
  </si>
  <si>
    <t>3240103436</t>
  </si>
  <si>
    <t>3240104212</t>
  </si>
  <si>
    <t>3240100416</t>
  </si>
  <si>
    <t>3240102734</t>
  </si>
  <si>
    <t>3240106095</t>
  </si>
  <si>
    <t>3240100346</t>
  </si>
  <si>
    <t>3240103987</t>
  </si>
  <si>
    <t>3240100359</t>
  </si>
  <si>
    <t>3240103131</t>
  </si>
  <si>
    <t>3240103146</t>
  </si>
  <si>
    <t>3240103681</t>
  </si>
  <si>
    <t>3240102918</t>
  </si>
  <si>
    <t>3240100866</t>
  </si>
  <si>
    <t>3240106375</t>
  </si>
  <si>
    <t>3240100757</t>
  </si>
  <si>
    <t>3240102809</t>
  </si>
  <si>
    <t>3240100201</t>
  </si>
  <si>
    <t>3240102807</t>
  </si>
  <si>
    <t>3240104352</t>
  </si>
  <si>
    <t>3240103842</t>
  </si>
  <si>
    <t>3240103117</t>
  </si>
  <si>
    <t>3240103898</t>
  </si>
  <si>
    <t>3240102968</t>
  </si>
  <si>
    <t>3240100425</t>
  </si>
  <si>
    <t>3240103351</t>
  </si>
  <si>
    <t>3240104591</t>
  </si>
  <si>
    <t>3240103625</t>
  </si>
  <si>
    <t>3240103673</t>
  </si>
  <si>
    <t>3240103621</t>
  </si>
  <si>
    <t>3240103554</t>
  </si>
  <si>
    <t>3240101651</t>
  </si>
  <si>
    <t>3240103490</t>
  </si>
  <si>
    <t>3240100517</t>
  </si>
  <si>
    <t>3240101515</t>
  </si>
  <si>
    <t>3240100815</t>
  </si>
  <si>
    <t>3240103230</t>
  </si>
  <si>
    <t>3240100334</t>
  </si>
  <si>
    <t>3240104203</t>
  </si>
  <si>
    <t>3240103962</t>
  </si>
  <si>
    <t>3240104380</t>
  </si>
  <si>
    <t>3240103050</t>
  </si>
  <si>
    <t>3240104179</t>
  </si>
  <si>
    <t>3240103268</t>
  </si>
  <si>
    <t>3240104565</t>
  </si>
  <si>
    <t>3240106039</t>
  </si>
  <si>
    <t>3240106046</t>
  </si>
  <si>
    <t>3240104618</t>
  </si>
  <si>
    <t>3240100667</t>
  </si>
  <si>
    <t>3240104447</t>
  </si>
  <si>
    <t>3240103784</t>
  </si>
  <si>
    <t>3240100914</t>
  </si>
  <si>
    <t>3240104035</t>
  </si>
  <si>
    <t>3240104145</t>
  </si>
  <si>
    <t>3240102954</t>
  </si>
  <si>
    <t>3240103449</t>
  </si>
  <si>
    <t>3240100375</t>
  </si>
  <si>
    <t>3240100762</t>
  </si>
  <si>
    <t>3240103829</t>
  </si>
  <si>
    <t>3240103295</t>
  </si>
  <si>
    <t>3240103905</t>
  </si>
  <si>
    <t>3240103389</t>
  </si>
  <si>
    <t>3240100468</t>
  </si>
  <si>
    <t>3240106268</t>
  </si>
  <si>
    <t>3240104090</t>
  </si>
  <si>
    <t>3240101836</t>
  </si>
  <si>
    <t>3240104354</t>
  </si>
  <si>
    <t>3240102821</t>
  </si>
  <si>
    <t>3240103858</t>
  </si>
  <si>
    <t>3240106072</t>
  </si>
  <si>
    <t>3240102985</t>
  </si>
  <si>
    <t>3240103545</t>
  </si>
  <si>
    <t>3240103323</t>
  </si>
  <si>
    <t>3240100493</t>
  </si>
  <si>
    <t>3240100623</t>
  </si>
  <si>
    <t>3240103754</t>
  </si>
  <si>
    <t>3240105890</t>
  </si>
  <si>
    <t>3240103071</t>
  </si>
  <si>
    <t>3240103971</t>
  </si>
  <si>
    <t>3240104304</t>
  </si>
  <si>
    <t>3240104561</t>
  </si>
  <si>
    <t>3240102224</t>
  </si>
  <si>
    <t>3240100453</t>
  </si>
  <si>
    <t>3240103654</t>
  </si>
  <si>
    <t>3240105771</t>
  </si>
  <si>
    <t>3240106371</t>
  </si>
  <si>
    <t>3240104243</t>
  </si>
  <si>
    <t>3240104866</t>
  </si>
  <si>
    <t>3240102884</t>
  </si>
  <si>
    <t>3240105767</t>
  </si>
  <si>
    <t>3240106065</t>
  </si>
  <si>
    <t>3240100427</t>
  </si>
  <si>
    <t>3240105209</t>
  </si>
  <si>
    <t>3240103999</t>
  </si>
  <si>
    <t>3240101164</t>
  </si>
  <si>
    <t>3240103254</t>
  </si>
  <si>
    <t>3240105181</t>
  </si>
  <si>
    <t>3240101837</t>
  </si>
  <si>
    <t>3240102218</t>
  </si>
  <si>
    <t>3240100740</t>
  </si>
  <si>
    <t>3240104466</t>
  </si>
  <si>
    <t>3240100289</t>
  </si>
  <si>
    <t>3240100415</t>
  </si>
  <si>
    <t>3240103540</t>
  </si>
  <si>
    <t>3240105034</t>
  </si>
  <si>
    <t>3240102931</t>
  </si>
  <si>
    <t>3240103159</t>
  </si>
  <si>
    <t>3240100539</t>
  </si>
  <si>
    <t>3240103425</t>
  </si>
  <si>
    <t>3240103841</t>
  </si>
  <si>
    <t>3240104026</t>
  </si>
  <si>
    <t>3240103218</t>
  </si>
  <si>
    <t>3240104096</t>
  </si>
  <si>
    <t>3240104514</t>
  </si>
  <si>
    <t>3240103424</t>
  </si>
  <si>
    <t>3240102852</t>
  </si>
  <si>
    <t>3240102219</t>
  </si>
  <si>
    <t>3240100280</t>
  </si>
  <si>
    <t>3240100419</t>
  </si>
  <si>
    <t>3240103876</t>
  </si>
  <si>
    <t>3240106091</t>
  </si>
  <si>
    <t>3240101804</t>
  </si>
  <si>
    <t>3240103716</t>
  </si>
  <si>
    <t>3240103462</t>
  </si>
  <si>
    <t>3240101698</t>
  </si>
  <si>
    <t>3240103248</t>
  </si>
  <si>
    <t>3240101864</t>
  </si>
  <si>
    <t>3240101862</t>
  </si>
  <si>
    <t>3240103689</t>
  </si>
  <si>
    <t>3240103062</t>
  </si>
  <si>
    <t>3240103634</t>
  </si>
  <si>
    <t>3240104550</t>
  </si>
  <si>
    <t>3240100641</t>
  </si>
  <si>
    <t>3240101024</t>
  </si>
  <si>
    <t>3240102945</t>
  </si>
  <si>
    <t>3240106333</t>
  </si>
  <si>
    <t>3240104182</t>
  </si>
  <si>
    <t>3240102803</t>
  </si>
  <si>
    <t>3240101795</t>
  </si>
  <si>
    <t>3240104220</t>
  </si>
  <si>
    <t>3240104953</t>
  </si>
  <si>
    <t>3240103902</t>
  </si>
  <si>
    <t>3240104202</t>
  </si>
  <si>
    <t>3240103597</t>
  </si>
  <si>
    <t>3240104954</t>
  </si>
  <si>
    <t>3240103570</t>
  </si>
  <si>
    <t>3240100883</t>
  </si>
  <si>
    <t>3240100928</t>
  </si>
  <si>
    <t>3240103521</t>
  </si>
  <si>
    <t>3240102755</t>
  </si>
  <si>
    <t>3240106331</t>
  </si>
  <si>
    <t>3240101029</t>
  </si>
  <si>
    <t>3240104069</t>
  </si>
  <si>
    <t>3240105774</t>
  </si>
  <si>
    <t>3240104370</t>
  </si>
  <si>
    <t>3240101493</t>
  </si>
  <si>
    <t>3240100871</t>
  </si>
  <si>
    <t>3240103920</t>
  </si>
  <si>
    <t>3240105891</t>
  </si>
  <si>
    <t>3240103825</t>
  </si>
  <si>
    <t>3240103720</t>
  </si>
  <si>
    <t>3240104427</t>
  </si>
  <si>
    <t>3240104150</t>
  </si>
  <si>
    <t>3240102829</t>
  </si>
  <si>
    <t>3240102800</t>
  </si>
  <si>
    <t>3240103095</t>
  </si>
  <si>
    <t>3240104054</t>
  </si>
  <si>
    <t>3240102880</t>
  </si>
  <si>
    <t>3240104098</t>
  </si>
  <si>
    <t>3240103188</t>
  </si>
  <si>
    <t>3240105098</t>
  </si>
  <si>
    <t>3240102785</t>
  </si>
  <si>
    <t>3240104547</t>
  </si>
  <si>
    <t>3240103328</t>
  </si>
  <si>
    <t>3240103936</t>
  </si>
  <si>
    <t>3240103998</t>
  </si>
  <si>
    <t>3240104785</t>
  </si>
  <si>
    <t>3240102822</t>
  </si>
  <si>
    <t>3240103128</t>
  </si>
  <si>
    <t>3240104416</t>
  </si>
  <si>
    <t>3240100594</t>
  </si>
  <si>
    <t>3240101667</t>
  </si>
  <si>
    <t>3240103034</t>
  </si>
  <si>
    <t>3240103103</t>
  </si>
  <si>
    <t>3240103527</t>
  </si>
  <si>
    <t>3240104067</t>
  </si>
  <si>
    <t>3240104598</t>
  </si>
  <si>
    <t>3240103251</t>
  </si>
  <si>
    <t>3240100972</t>
  </si>
  <si>
    <t>3240104088</t>
  </si>
  <si>
    <t>3240103508</t>
  </si>
  <si>
    <t>3240104484</t>
  </si>
  <si>
    <t>3240100586</t>
  </si>
  <si>
    <t>3240101694</t>
  </si>
  <si>
    <t>3240101607</t>
  </si>
  <si>
    <t>3240106448</t>
  </si>
  <si>
    <t>3240104489</t>
  </si>
  <si>
    <t>3240104363</t>
  </si>
  <si>
    <t>3240101927</t>
  </si>
  <si>
    <t>3240103285</t>
  </si>
  <si>
    <t>3240100922</t>
  </si>
  <si>
    <t>3240100436</t>
  </si>
  <si>
    <t>3240102385</t>
  </si>
  <si>
    <t>3240103189</t>
  </si>
  <si>
    <t>3240101490</t>
  </si>
  <si>
    <t>3240104784</t>
  </si>
  <si>
    <t>3240103889</t>
  </si>
  <si>
    <t>3240105471</t>
  </si>
  <si>
    <t>3240105461</t>
  </si>
  <si>
    <t>3240104480</t>
  </si>
  <si>
    <t>3240105776</t>
  </si>
  <si>
    <t>3240100645</t>
  </si>
  <si>
    <t>3240106430</t>
  </si>
  <si>
    <t>3240104805</t>
  </si>
  <si>
    <t>3240103684</t>
  </si>
  <si>
    <t>3240104497</t>
  </si>
  <si>
    <t>3240103126</t>
  </si>
  <si>
    <t>3240106075</t>
  </si>
  <si>
    <t>3240103448</t>
  </si>
  <si>
    <t>3240103226</t>
  </si>
  <si>
    <t>3240103736</t>
  </si>
  <si>
    <t>3240102953</t>
  </si>
  <si>
    <t>3240104800</t>
  </si>
  <si>
    <t>3240100297</t>
  </si>
  <si>
    <t>3240106076</t>
  </si>
  <si>
    <t>3240104151</t>
  </si>
  <si>
    <t>3240101866</t>
  </si>
  <si>
    <t>3240100305</t>
  </si>
  <si>
    <t>3240103206</t>
  </si>
  <si>
    <t>3240104332</t>
  </si>
  <si>
    <t>3240105450</t>
  </si>
  <si>
    <t>3240103152</t>
  </si>
  <si>
    <t>3240102851</t>
  </si>
  <si>
    <t>3240103916</t>
  </si>
  <si>
    <t>3240104197</t>
  </si>
  <si>
    <t>3240105900</t>
  </si>
  <si>
    <t>3240101727</t>
  </si>
  <si>
    <t>3240106449</t>
  </si>
  <si>
    <t>3240103893</t>
  </si>
  <si>
    <t>3240101800</t>
  </si>
  <si>
    <t>3240103656</t>
  </si>
  <si>
    <t>3240103697</t>
  </si>
  <si>
    <t>3240105894</t>
  </si>
  <si>
    <t>3240103852</t>
  </si>
  <si>
    <t>3240105212</t>
  </si>
  <si>
    <t>3240102817</t>
  </si>
  <si>
    <t>3240106456</t>
  </si>
  <si>
    <t>3240103895</t>
  </si>
  <si>
    <t>3240106360</t>
  </si>
  <si>
    <t>3240101586</t>
  </si>
  <si>
    <t>3240103054</t>
  </si>
  <si>
    <t>3240106344</t>
  </si>
  <si>
    <t>3240103136</t>
  </si>
  <si>
    <t>3240104024</t>
  </si>
  <si>
    <t>3240106462</t>
  </si>
  <si>
    <t>3240101599</t>
  </si>
  <si>
    <t>3240102740</t>
  </si>
  <si>
    <t>3240100401</t>
  </si>
  <si>
    <t>3240105898</t>
  </si>
  <si>
    <t>3240104127</t>
  </si>
  <si>
    <t>3240102754</t>
  </si>
  <si>
    <t>3240103064</t>
  </si>
  <si>
    <t>3240104292</t>
  </si>
  <si>
    <t>3240105759</t>
  </si>
  <si>
    <t>3240105902</t>
  </si>
  <si>
    <t>3240101880</t>
  </si>
  <si>
    <t>3240100319</t>
  </si>
  <si>
    <t>3240104082</t>
  </si>
  <si>
    <t>3240102844</t>
  </si>
  <si>
    <t>3240103534</t>
  </si>
  <si>
    <t>3240105443</t>
  </si>
  <si>
    <t>3240101858</t>
  </si>
  <si>
    <t>3240102745</t>
  </si>
  <si>
    <t>3240106012</t>
  </si>
  <si>
    <t>3240100324</t>
  </si>
  <si>
    <t>3240100529</t>
  </si>
  <si>
    <t>3240102675</t>
  </si>
  <si>
    <t>3240100897</t>
  </si>
  <si>
    <t>3240100856</t>
  </si>
  <si>
    <t>3240100196</t>
  </si>
  <si>
    <t>3240105869</t>
  </si>
  <si>
    <t>3240106025</t>
  </si>
  <si>
    <t>3240100377</t>
  </si>
  <si>
    <t>3240100582</t>
  </si>
  <si>
    <t>3240100335</t>
  </si>
  <si>
    <t>3240100192</t>
  </si>
  <si>
    <t>3240102000</t>
  </si>
  <si>
    <t>3240102658</t>
  </si>
  <si>
    <t>3240102708</t>
  </si>
  <si>
    <t>3240102644</t>
  </si>
  <si>
    <t>3240106013</t>
  </si>
  <si>
    <t>3240102571</t>
  </si>
  <si>
    <t>3240102691</t>
  </si>
  <si>
    <t>3240102241</t>
  </si>
  <si>
    <t>3240102677</t>
  </si>
  <si>
    <t>3240105281</t>
  </si>
  <si>
    <t>3240102003</t>
  </si>
  <si>
    <t>3240102714</t>
  </si>
  <si>
    <t>3240102604</t>
  </si>
  <si>
    <t>3240102645</t>
  </si>
  <si>
    <t>3240101050</t>
  </si>
  <si>
    <t>3240106273</t>
  </si>
  <si>
    <t>3240100245</t>
  </si>
  <si>
    <t>3240102567</t>
  </si>
  <si>
    <t>3240102643</t>
  </si>
  <si>
    <t>3240102685</t>
  </si>
  <si>
    <t>3240106286</t>
  </si>
  <si>
    <t>3240102603</t>
  </si>
  <si>
    <t>3240100358</t>
  </si>
  <si>
    <t>3240102713</t>
  </si>
  <si>
    <t>3240100822</t>
  </si>
  <si>
    <t>3240102607</t>
  </si>
  <si>
    <t>3240102692</t>
  </si>
  <si>
    <t>3240106283</t>
  </si>
  <si>
    <t>3240102648</t>
  </si>
  <si>
    <t>3240102701</t>
  </si>
  <si>
    <t>3240102565</t>
  </si>
  <si>
    <t>3240102703</t>
  </si>
  <si>
    <t>3240102635</t>
  </si>
  <si>
    <t>3240102636</t>
  </si>
  <si>
    <t>3240102656</t>
  </si>
  <si>
    <t>3240102252</t>
  </si>
  <si>
    <t>3240102655</t>
  </si>
  <si>
    <t>3240106278</t>
  </si>
  <si>
    <t>3240100618</t>
  </si>
  <si>
    <t>3240102616</t>
  </si>
  <si>
    <t>3240102633</t>
  </si>
  <si>
    <t>3240100343</t>
  </si>
  <si>
    <t>3240100438</t>
  </si>
  <si>
    <t>3240102628</t>
  </si>
  <si>
    <t>3240102651</t>
  </si>
  <si>
    <t>3240102231</t>
  </si>
  <si>
    <t>3240102634</t>
  </si>
  <si>
    <t>3240106361</t>
  </si>
  <si>
    <t>3240106330</t>
  </si>
  <si>
    <t>3240102586</t>
  </si>
  <si>
    <t>3240100287</t>
  </si>
  <si>
    <t>3240102612</t>
  </si>
  <si>
    <t>3240105865</t>
  </si>
  <si>
    <t>3240100580</t>
  </si>
  <si>
    <t>3240101994</t>
  </si>
  <si>
    <t>3240102640</t>
  </si>
  <si>
    <t>3240101131</t>
  </si>
  <si>
    <t>3240102578</t>
  </si>
  <si>
    <t>3240100924</t>
  </si>
  <si>
    <t>3240102601</t>
  </si>
  <si>
    <t>3240102620</t>
  </si>
  <si>
    <t>3240102577</t>
  </si>
  <si>
    <t>3240101985</t>
  </si>
  <si>
    <t>3240102598</t>
  </si>
  <si>
    <t>3240101983</t>
  </si>
  <si>
    <t>3240102711</t>
  </si>
  <si>
    <t>3240101984</t>
  </si>
  <si>
    <t>3240102694</t>
  </si>
  <si>
    <t>3240102622</t>
  </si>
  <si>
    <t>3240102005</t>
  </si>
  <si>
    <t>3240106271</t>
  </si>
  <si>
    <t>3240102573</t>
  </si>
  <si>
    <t>3240106442</t>
  </si>
  <si>
    <t>3240100845</t>
  </si>
  <si>
    <t>3240102702</t>
  </si>
  <si>
    <t>3240106428</t>
  </si>
  <si>
    <t>3240100269</t>
  </si>
  <si>
    <t>3240100390</t>
  </si>
  <si>
    <t>3240100559</t>
  </si>
  <si>
    <t>3240101443</t>
  </si>
  <si>
    <t>3240100394</t>
  </si>
  <si>
    <t>3240102709</t>
  </si>
  <si>
    <t>3240106433</t>
  </si>
  <si>
    <t>3240102004</t>
  </si>
  <si>
    <t>3240102609</t>
  </si>
  <si>
    <t>3240102657</t>
  </si>
  <si>
    <t>3240100523</t>
  </si>
  <si>
    <t>3240101998</t>
  </si>
  <si>
    <t>3240100898</t>
  </si>
  <si>
    <t>3240102002</t>
  </si>
  <si>
    <t>3240101986</t>
  </si>
  <si>
    <t>3240100487</t>
  </si>
  <si>
    <t>3240102642</t>
  </si>
  <si>
    <t>3240106023</t>
  </si>
  <si>
    <t>3240101999</t>
  </si>
  <si>
    <t>3240106346</t>
  </si>
  <si>
    <t>3240101991</t>
  </si>
  <si>
    <t>3240100433</t>
  </si>
  <si>
    <t>3240106293</t>
  </si>
  <si>
    <t>3240102625</t>
  </si>
  <si>
    <t>3240100601</t>
  </si>
  <si>
    <t>3240101993</t>
  </si>
  <si>
    <t>3240101439</t>
  </si>
  <si>
    <t>3240106503</t>
  </si>
  <si>
    <t>3240101432</t>
  </si>
  <si>
    <t>3240103458</t>
  </si>
  <si>
    <t>3240103431</t>
  </si>
  <si>
    <t>3240101589</t>
  </si>
  <si>
    <t>3240105071</t>
  </si>
  <si>
    <t>3240105110</t>
  </si>
  <si>
    <t>3240101575</t>
  </si>
  <si>
    <t>3240105073</t>
  </si>
  <si>
    <t>3240104652</t>
  </si>
  <si>
    <t>3240103703</t>
  </si>
  <si>
    <t>3240105070</t>
  </si>
  <si>
    <t>3240102846</t>
  </si>
  <si>
    <t>3240104719</t>
  </si>
  <si>
    <t>3240104540</t>
  </si>
  <si>
    <t>3240105058</t>
  </si>
  <si>
    <t>3240104699</t>
  </si>
  <si>
    <t>3240103623</t>
  </si>
  <si>
    <t>3240103649</t>
  </si>
  <si>
    <t>3240104043</t>
  </si>
  <si>
    <t>3240100538</t>
  </si>
  <si>
    <t>3240100799</t>
  </si>
  <si>
    <t>3240104688</t>
  </si>
  <si>
    <t>3240103645</t>
  </si>
  <si>
    <t>3240102893</t>
  </si>
  <si>
    <t>3240104501</t>
  </si>
  <si>
    <t>3240104301</t>
  </si>
  <si>
    <t>3240104577</t>
  </si>
  <si>
    <t>3240105041</t>
  </si>
  <si>
    <t>3240103830</t>
  </si>
  <si>
    <t>3240105065</t>
  </si>
  <si>
    <t>3240104747</t>
  </si>
  <si>
    <t>3240105039</t>
  </si>
  <si>
    <t>3240103193</t>
  </si>
  <si>
    <t>3240102957</t>
  </si>
  <si>
    <t>3240103164</t>
  </si>
  <si>
    <t>3240103307</t>
  </si>
  <si>
    <t>3240104723</t>
  </si>
  <si>
    <t>3240105514</t>
  </si>
  <si>
    <t>3240103990</t>
  </si>
  <si>
    <t>3240101578</t>
  </si>
  <si>
    <t>3240101608</t>
  </si>
  <si>
    <t>3240103053</t>
  </si>
  <si>
    <t>3240104455</t>
  </si>
  <si>
    <t>3240103547</t>
  </si>
  <si>
    <t>3240101612</t>
  </si>
  <si>
    <t>3240105083</t>
  </si>
  <si>
    <t>3240103651</t>
  </si>
  <si>
    <t>3240105047</t>
  </si>
  <si>
    <t>3240104560</t>
  </si>
  <si>
    <t>3240103445</t>
  </si>
  <si>
    <t>3240102917</t>
  </si>
  <si>
    <t>3240103791</t>
  </si>
  <si>
    <t>3240103447</t>
  </si>
  <si>
    <t>3240104639</t>
  </si>
  <si>
    <t>3240103779</t>
  </si>
  <si>
    <t>3240103734</t>
  </si>
  <si>
    <t>3240100989</t>
  </si>
  <si>
    <t>3240100885</t>
  </si>
  <si>
    <t>3240100439</t>
  </si>
  <si>
    <t>3240104045</t>
  </si>
  <si>
    <t>3240105089</t>
  </si>
  <si>
    <t>3240101780</t>
  </si>
  <si>
    <t>3240104529</t>
  </si>
  <si>
    <t>3240102838</t>
  </si>
  <si>
    <t>3240105109</t>
  </si>
  <si>
    <t>3240101512</t>
  </si>
  <si>
    <t>3240103314</t>
  </si>
  <si>
    <t>3240104503</t>
  </si>
  <si>
    <t>3240104017</t>
  </si>
  <si>
    <t>3240103392</t>
  </si>
  <si>
    <t>3240103567</t>
  </si>
  <si>
    <t>3240103956</t>
  </si>
  <si>
    <t>3240105038</t>
  </si>
  <si>
    <t>3240102845</t>
  </si>
  <si>
    <t>3240103919</t>
  </si>
  <si>
    <t>3240100858</t>
  </si>
  <si>
    <t>3240100350</t>
  </si>
  <si>
    <t>3240100813</t>
  </si>
  <si>
    <t>3240105107</t>
  </si>
  <si>
    <t>3240103344</t>
  </si>
  <si>
    <t>3240103201</t>
  </si>
  <si>
    <t>3240104718</t>
  </si>
  <si>
    <t>3240103180</t>
  </si>
  <si>
    <t>3240103839</t>
  </si>
  <si>
    <t>3240101790</t>
  </si>
  <si>
    <t>3240103685</t>
  </si>
  <si>
    <t>3240105067</t>
  </si>
  <si>
    <t>3240104680</t>
  </si>
  <si>
    <t>3240102787</t>
  </si>
  <si>
    <t>3240105119</t>
  </si>
  <si>
    <t>3240104725</t>
  </si>
  <si>
    <t>3240104375</t>
  </si>
  <si>
    <t>3240104663</t>
  </si>
  <si>
    <t>3240101147</t>
  </si>
  <si>
    <t>3240104754</t>
  </si>
  <si>
    <t>3240103532</t>
  </si>
  <si>
    <t>3240103925</t>
  </si>
  <si>
    <t>3240103327</t>
  </si>
  <si>
    <t>3240104539</t>
  </si>
  <si>
    <t>3240101582</t>
  </si>
  <si>
    <t>3240105580</t>
  </si>
  <si>
    <t>3240104231</t>
  </si>
  <si>
    <t>3240104015</t>
  </si>
  <si>
    <t>3240105078</t>
  </si>
  <si>
    <t>3240103741</t>
  </si>
  <si>
    <t>3240100339</t>
  </si>
  <si>
    <t>3240103007</t>
  </si>
  <si>
    <t>3240105601</t>
  </si>
  <si>
    <t>3240104459</t>
  </si>
  <si>
    <t>3240105598</t>
  </si>
  <si>
    <t>3240100271</t>
  </si>
  <si>
    <t>3240104016</t>
  </si>
  <si>
    <t>3240100710</t>
  </si>
  <si>
    <t>3240102836</t>
  </si>
  <si>
    <t>3240101781</t>
  </si>
  <si>
    <t>3240102805</t>
  </si>
  <si>
    <t>3240102933</t>
  </si>
  <si>
    <t>3240103115</t>
  </si>
  <si>
    <t>3240103039</t>
  </si>
  <si>
    <t>3240104421</t>
  </si>
  <si>
    <t>3240104666</t>
  </si>
  <si>
    <t>3240105582</t>
  </si>
  <si>
    <t>3240105088</t>
  </si>
  <si>
    <t>3240105112</t>
  </si>
  <si>
    <t>3240100221</t>
  </si>
  <si>
    <t>3240100673</t>
  </si>
  <si>
    <t>3240103874</t>
  </si>
  <si>
    <t>3240103114</t>
  </si>
  <si>
    <t>3240104040</t>
  </si>
  <si>
    <t>3240105054</t>
  </si>
  <si>
    <t>3240102730</t>
  </si>
  <si>
    <t>3240101787</t>
  </si>
  <si>
    <t>3240101805</t>
  </si>
  <si>
    <t>3240100209</t>
  </si>
  <si>
    <t>3240103989</t>
  </si>
  <si>
    <t>3240105602</t>
  </si>
  <si>
    <t>3240104597</t>
  </si>
  <si>
    <t>3240102839</t>
  </si>
  <si>
    <t>3240104133</t>
  </si>
  <si>
    <t>3240101796</t>
  </si>
  <si>
    <t>3240101514</t>
  </si>
  <si>
    <t>3240104341</t>
  </si>
  <si>
    <t>3240104630</t>
  </si>
  <si>
    <t>3240103165</t>
  </si>
  <si>
    <t>3240103562</t>
  </si>
  <si>
    <t>3240105046</t>
  </si>
  <si>
    <t>3240104521</t>
  </si>
  <si>
    <t>3240102919</t>
  </si>
  <si>
    <t>3240101580</t>
  </si>
  <si>
    <t>3240104705</t>
  </si>
  <si>
    <t>3240100951</t>
  </si>
  <si>
    <t>3240103104</t>
  </si>
  <si>
    <t>3240104668</t>
  </si>
  <si>
    <t>3240101000</t>
  </si>
  <si>
    <t>3240101508</t>
  </si>
  <si>
    <t>3240105055</t>
  </si>
  <si>
    <t>3240104291</t>
  </si>
  <si>
    <t>3240101513</t>
  </si>
  <si>
    <t>3240104080</t>
  </si>
  <si>
    <t>3240103997</t>
  </si>
  <si>
    <t>3240100281</t>
  </si>
  <si>
    <t>3240101784</t>
  </si>
  <si>
    <t>3240103821</t>
  </si>
  <si>
    <t>3240105064</t>
  </si>
  <si>
    <t>3240105080</t>
  </si>
  <si>
    <t>3240105519</t>
  </si>
  <si>
    <t>3240102977</t>
  </si>
  <si>
    <t>3240103715</t>
  </si>
  <si>
    <t>3240101789</t>
  </si>
  <si>
    <t>3240105105</t>
  </si>
  <si>
    <t>3240100700</t>
  </si>
  <si>
    <t>3240104704</t>
  </si>
  <si>
    <t>3240104634</t>
  </si>
  <si>
    <t>3240100413</t>
  </si>
  <si>
    <t>3240100285</t>
  </si>
  <si>
    <t>3240105053</t>
  </si>
  <si>
    <t>3240104734</t>
  </si>
  <si>
    <t>3240103157</t>
  </si>
  <si>
    <t>3240102205</t>
  </si>
  <si>
    <t>3240100659</t>
  </si>
  <si>
    <t>3240100398</t>
  </si>
  <si>
    <t>3240105486</t>
  </si>
  <si>
    <t>3240105120</t>
  </si>
  <si>
    <t>3240105092</t>
  </si>
  <si>
    <t>3240102204</t>
  </si>
  <si>
    <t>3240105115</t>
  </si>
  <si>
    <t>3240103664</t>
  </si>
  <si>
    <t>3240103145</t>
  </si>
  <si>
    <t>3240103680</t>
  </si>
  <si>
    <t>3240104385</t>
  </si>
  <si>
    <t>3240104161</t>
  </si>
  <si>
    <t>3240102705</t>
  </si>
  <si>
    <t>3240102250</t>
  </si>
  <si>
    <t>3240105284</t>
  </si>
  <si>
    <t>3240105807</t>
  </si>
  <si>
    <t>3240102232</t>
  </si>
  <si>
    <t>3240100518</t>
  </si>
  <si>
    <t>3240105261</t>
  </si>
  <si>
    <t>3240100912</t>
  </si>
  <si>
    <t>3240105812</t>
  </si>
  <si>
    <t>3240101974</t>
  </si>
  <si>
    <t>3240105826</t>
  </si>
  <si>
    <t>3240105262</t>
  </si>
  <si>
    <t>3240101976</t>
  </si>
  <si>
    <t>3240100918</t>
  </si>
  <si>
    <t>3240106292</t>
  </si>
  <si>
    <t>3240102676</t>
  </si>
  <si>
    <t>3240106007</t>
  </si>
  <si>
    <t>3240102652</t>
  </si>
  <si>
    <t>3240102674</t>
  </si>
  <si>
    <t>3240101978</t>
  </si>
  <si>
    <t>3240102650</t>
  </si>
  <si>
    <t>3240105844</t>
  </si>
  <si>
    <t>3240102249</t>
  </si>
  <si>
    <t>3240100685</t>
  </si>
  <si>
    <t>3240102667</t>
  </si>
  <si>
    <t>3240104835</t>
  </si>
  <si>
    <t>3240105283</t>
  </si>
  <si>
    <t>3240105814</t>
  </si>
  <si>
    <t>3240102591</t>
  </si>
  <si>
    <t>3240100572</t>
  </si>
  <si>
    <t>3240102670</t>
  </si>
  <si>
    <t>3240106018</t>
  </si>
  <si>
    <t>3240100337</t>
  </si>
  <si>
    <t>3240106302</t>
  </si>
  <si>
    <t>3240102686</t>
  </si>
  <si>
    <t>3240105836</t>
  </si>
  <si>
    <t>3240105815</t>
  </si>
  <si>
    <t>3240100697</t>
  </si>
  <si>
    <t>3240101975</t>
  </si>
  <si>
    <t>3240105275</t>
  </si>
  <si>
    <t>3240102255</t>
  </si>
  <si>
    <t>3240105840</t>
  </si>
  <si>
    <t>3240105266</t>
  </si>
  <si>
    <t>3240100278</t>
  </si>
  <si>
    <t>3240101958</t>
  </si>
  <si>
    <t>3240106276</t>
  </si>
  <si>
    <t>3240100643</t>
  </si>
  <si>
    <t>3240105811</t>
  </si>
  <si>
    <t>3240105803</t>
  </si>
  <si>
    <t>3240104838</t>
  </si>
  <si>
    <t>3240100321</t>
  </si>
  <si>
    <t>3240102605</t>
  </si>
  <si>
    <t>3240101961</t>
  </si>
  <si>
    <t>3240100449</t>
  </si>
  <si>
    <t>3240100253</t>
  </si>
  <si>
    <t>3240106272</t>
  </si>
  <si>
    <t>3240100414</t>
  </si>
  <si>
    <t>3240101980</t>
  </si>
  <si>
    <t>3240102581</t>
  </si>
  <si>
    <t>3240100795</t>
  </si>
  <si>
    <t>3240102594</t>
  </si>
  <si>
    <t>3240106319</t>
  </si>
  <si>
    <t>3240105912</t>
  </si>
  <si>
    <t>3240106320</t>
  </si>
  <si>
    <t>3240105280</t>
  </si>
  <si>
    <t>3240105819</t>
  </si>
  <si>
    <t>3240102240</t>
  </si>
  <si>
    <t>3240101970</t>
  </si>
  <si>
    <t>3240105125</t>
  </si>
  <si>
    <t>3240106291</t>
  </si>
  <si>
    <t>3240102247</t>
  </si>
  <si>
    <t>3240102595</t>
  </si>
  <si>
    <t>3240102660</t>
  </si>
  <si>
    <t>3240102647</t>
  </si>
  <si>
    <t>3240101962</t>
  </si>
  <si>
    <t>3240106008</t>
  </si>
  <si>
    <t>3240106011</t>
  </si>
  <si>
    <t>3240102587</t>
  </si>
  <si>
    <t>3240105911</t>
  </si>
  <si>
    <t>3240105263</t>
  </si>
  <si>
    <t>3240101977</t>
  </si>
  <si>
    <t>3240105825</t>
  </si>
  <si>
    <t>3240106284</t>
  </si>
  <si>
    <t>3240102568</t>
  </si>
  <si>
    <t>3240106270</t>
  </si>
  <si>
    <t>3240105802</t>
  </si>
  <si>
    <t>3240102629</t>
  </si>
  <si>
    <t>3240105833</t>
  </si>
  <si>
    <t>3240106280</t>
  </si>
  <si>
    <t>3240100719</t>
  </si>
  <si>
    <t>3240106020</t>
  </si>
  <si>
    <t>3240105843</t>
  </si>
  <si>
    <t>3240102673</t>
  </si>
  <si>
    <t>3240101959</t>
  </si>
  <si>
    <t>3240105837</t>
  </si>
  <si>
    <t>3240106289</t>
  </si>
  <si>
    <t>3240102235</t>
  </si>
  <si>
    <t>3240106304</t>
  </si>
  <si>
    <t>3240105124</t>
  </si>
  <si>
    <t>3240101968</t>
  </si>
  <si>
    <t>3240106009</t>
  </si>
  <si>
    <t>3240102718</t>
  </si>
  <si>
    <t>3240102671</t>
  </si>
  <si>
    <t>3240100708</t>
  </si>
  <si>
    <t>3240102588</t>
  </si>
  <si>
    <t>3240101052</t>
  </si>
  <si>
    <t>3240105285</t>
  </si>
  <si>
    <t>3240105927</t>
  </si>
  <si>
    <t>3240105128</t>
  </si>
  <si>
    <t>3240102624</t>
  </si>
  <si>
    <t>3240102233</t>
  </si>
  <si>
    <t>3240102574</t>
  </si>
  <si>
    <t>3240101127</t>
  </si>
  <si>
    <t>3240102257</t>
  </si>
  <si>
    <t>3240102237</t>
  </si>
  <si>
    <t>3240105922</t>
  </si>
  <si>
    <t>3240104831</t>
  </si>
  <si>
    <t>3240105846</t>
  </si>
  <si>
    <t>3240100548</t>
  </si>
  <si>
    <t>3240102719</t>
  </si>
  <si>
    <t>3240105274</t>
  </si>
  <si>
    <t>3240102716</t>
  </si>
  <si>
    <t>3240105924</t>
  </si>
  <si>
    <t>3240102632</t>
  </si>
  <si>
    <t>3240102666</t>
  </si>
  <si>
    <t>3240102618</t>
  </si>
  <si>
    <t>3240101964</t>
  </si>
  <si>
    <t>3240105816</t>
  </si>
  <si>
    <t>3240100946</t>
  </si>
  <si>
    <t>3240102243</t>
  </si>
  <si>
    <t>3240106313</t>
  </si>
  <si>
    <t>3240105808</t>
  </si>
  <si>
    <t>3240100356</t>
  </si>
  <si>
    <t>3240105804</t>
  </si>
  <si>
    <t>3240102236</t>
  </si>
  <si>
    <t>3240100838</t>
  </si>
  <si>
    <t>3240106324</t>
  </si>
  <si>
    <t>3240104832</t>
  </si>
  <si>
    <t>3240106290</t>
  </si>
  <si>
    <t>3240101956</t>
  </si>
  <si>
    <t>3240106285</t>
  </si>
  <si>
    <t>3240104834</t>
  </si>
  <si>
    <t>3240106316</t>
  </si>
  <si>
    <t>3240104833</t>
  </si>
  <si>
    <t>3240101969</t>
  </si>
  <si>
    <t>3240105838</t>
  </si>
  <si>
    <t>3240105859</t>
  </si>
  <si>
    <t>3240106024</t>
  </si>
  <si>
    <t>3240102610</t>
  </si>
  <si>
    <t>3240102631</t>
  </si>
  <si>
    <t>3240102721</t>
  </si>
  <si>
    <t>3240106379</t>
  </si>
  <si>
    <t>3240102570</t>
  </si>
  <si>
    <t>3240102583</t>
  </si>
  <si>
    <t>3240102722</t>
  </si>
  <si>
    <t>3240102239</t>
  </si>
  <si>
    <t>3240100927</t>
  </si>
  <si>
    <t>3240105278</t>
  </si>
  <si>
    <t>3240102230</t>
  </si>
  <si>
    <t>3240104841</t>
  </si>
  <si>
    <t>3240102729</t>
  </si>
  <si>
    <t>3240101957</t>
  </si>
  <si>
    <t>3240101971</t>
  </si>
  <si>
    <t>3240102256</t>
  </si>
  <si>
    <t>3240102584</t>
  </si>
  <si>
    <t>3240105858</t>
  </si>
  <si>
    <t>3240102251</t>
  </si>
  <si>
    <t>3240102664</t>
  </si>
  <si>
    <t>3240105830</t>
  </si>
  <si>
    <t>3240105835</t>
  </si>
  <si>
    <t>3240100599</t>
  </si>
  <si>
    <t>3240105841</t>
  </si>
  <si>
    <t>3240101965</t>
  </si>
  <si>
    <t>3240105845</t>
  </si>
  <si>
    <t>3240106314</t>
  </si>
  <si>
    <t>3240101960</t>
  </si>
  <si>
    <t>3240100556</t>
  </si>
  <si>
    <t>3240105805</t>
  </si>
  <si>
    <t>3240106014</t>
  </si>
  <si>
    <t>3240102575</t>
  </si>
  <si>
    <t>3240105817</t>
  </si>
  <si>
    <t>3240106010</t>
  </si>
  <si>
    <t>3240106378</t>
  </si>
  <si>
    <t>3240106310</t>
  </si>
  <si>
    <t>3240102680</t>
  </si>
  <si>
    <t>3240101979</t>
  </si>
  <si>
    <t>3240102234</t>
  </si>
  <si>
    <t>3240102254</t>
  </si>
  <si>
    <t>3240105928</t>
  </si>
  <si>
    <t>3240105806</t>
  </si>
  <si>
    <t>3240105832</t>
  </si>
  <si>
    <t>3240101981</t>
  </si>
  <si>
    <t>3240102626</t>
  </si>
  <si>
    <t>3240102623</t>
  </si>
  <si>
    <t>3240102238</t>
  </si>
  <si>
    <t>3240105822</t>
  </si>
  <si>
    <t>3240105134</t>
  </si>
  <si>
    <t>3240105810</t>
  </si>
  <si>
    <t>3240106308</t>
  </si>
  <si>
    <t>3240105867</t>
  </si>
  <si>
    <t>3240105818</t>
  </si>
  <si>
    <t>3240106315</t>
  </si>
  <si>
    <t>3240106295</t>
  </si>
  <si>
    <t>3240104837</t>
  </si>
  <si>
    <t>3240106294</t>
  </si>
  <si>
    <t>3240102663</t>
  </si>
  <si>
    <t>3240104836</t>
  </si>
  <si>
    <t>3240106287</t>
  </si>
  <si>
    <t>3240105813</t>
  </si>
  <si>
    <t>3240105864</t>
  </si>
  <si>
    <t>3240102720</t>
  </si>
  <si>
    <t>3240106377</t>
  </si>
  <si>
    <t>3240102665</t>
  </si>
  <si>
    <t>3240105834</t>
  </si>
  <si>
    <t>3240105273</t>
  </si>
  <si>
    <t>3240105824</t>
  </si>
  <si>
    <t>3240105130</t>
  </si>
  <si>
    <t>3240105133</t>
  </si>
  <si>
    <t>3240106279</t>
  </si>
  <si>
    <t>3240106376</t>
  </si>
  <si>
    <t>3240105831</t>
  </si>
  <si>
    <t>3240105809</t>
  </si>
  <si>
    <t>3240105260</t>
  </si>
  <si>
    <t>3240102696</t>
  </si>
  <si>
    <t>3240100864</t>
  </si>
  <si>
    <t>3240105909</t>
  </si>
  <si>
    <t>3240101972</t>
  </si>
  <si>
    <t>3240105842</t>
  </si>
  <si>
    <t>3240100277</t>
  </si>
  <si>
    <t>3240106275</t>
  </si>
  <si>
    <t>3240102715</t>
  </si>
  <si>
    <t>3240105823</t>
  </si>
  <si>
    <t>3240101997</t>
  </si>
  <si>
    <t>3240102638</t>
  </si>
  <si>
    <t>3240105267</t>
  </si>
  <si>
    <t>3240102669</t>
  </si>
  <si>
    <t>3240101431</t>
  </si>
  <si>
    <t>3240100536</t>
  </si>
  <si>
    <t>3240102611</t>
  </si>
  <si>
    <t>3240105264</t>
  </si>
  <si>
    <t>3240102668</t>
  </si>
  <si>
    <t>3240102566</t>
  </si>
  <si>
    <t>3240101126</t>
  </si>
  <si>
    <t>3240106309</t>
  </si>
  <si>
    <t>3240106317</t>
  </si>
  <si>
    <t>3240102698</t>
  </si>
  <si>
    <t>3240106296</t>
  </si>
  <si>
    <t>3240102637</t>
  </si>
  <si>
    <t>3240101973</t>
  </si>
  <si>
    <t>3240106288</t>
  </si>
  <si>
    <t>3240100232</t>
  </si>
  <si>
    <t>3240102593</t>
  </si>
  <si>
    <t>3240102602</t>
  </si>
  <si>
    <t>3240106312</t>
  </si>
  <si>
    <t>3240105925</t>
  </si>
  <si>
    <t>3240106325</t>
  </si>
  <si>
    <t>3240102641</t>
  </si>
  <si>
    <t>3240105862</t>
  </si>
  <si>
    <t>3240106323</t>
  </si>
  <si>
    <t>3240102592</t>
  </si>
  <si>
    <t>3240106019</t>
  </si>
  <si>
    <t>3240105821</t>
  </si>
  <si>
    <t>3240102576</t>
  </si>
  <si>
    <t>3240102599</t>
  </si>
  <si>
    <t>3240101992</t>
  </si>
  <si>
    <t>3240101963</t>
  </si>
  <si>
    <t>3240102585</t>
  </si>
  <si>
    <t>3240101982</t>
  </si>
  <si>
    <t>3240102681</t>
  </si>
  <si>
    <t>3240100723</t>
  </si>
  <si>
    <t>3240102727</t>
  </si>
  <si>
    <t>3240100264</t>
  </si>
  <si>
    <t>3240102649</t>
  </si>
  <si>
    <t>3240101988</t>
  </si>
  <si>
    <t>3240105827</t>
  </si>
  <si>
    <t>3240106282</t>
  </si>
  <si>
    <t>3240105828</t>
  </si>
  <si>
    <t>3240106327</t>
  </si>
  <si>
    <t>3240106321</t>
  </si>
  <si>
    <t>3240105839</t>
  </si>
  <si>
    <t>3240102646</t>
  </si>
  <si>
    <t>3240101434</t>
  </si>
  <si>
    <t>3240101967</t>
  </si>
  <si>
    <t>3240106022</t>
  </si>
  <si>
    <t>3240101437</t>
  </si>
  <si>
    <t>3240102704</t>
  </si>
  <si>
    <t>3240102717</t>
  </si>
  <si>
    <t>3240100843</t>
  </si>
  <si>
    <t>3240105291</t>
  </si>
  <si>
    <t>3240100884</t>
  </si>
  <si>
    <t>3240106446</t>
  </si>
  <si>
    <t>3240102253</t>
  </si>
  <si>
    <t>3240106326</t>
  </si>
  <si>
    <t>3240102724</t>
  </si>
  <si>
    <t>3240106307</t>
  </si>
  <si>
    <t>3240102580</t>
  </si>
  <si>
    <t>3240101995</t>
  </si>
  <si>
    <t>3240102590</t>
  </si>
  <si>
    <t>3240105277</t>
  </si>
  <si>
    <t>3240104839</t>
  </si>
  <si>
    <t>3240106274</t>
  </si>
  <si>
    <t>3240101996</t>
  </si>
  <si>
    <t>3240102245</t>
  </si>
  <si>
    <t>3240101987</t>
  </si>
  <si>
    <t>3240105820</t>
  </si>
  <si>
    <t>3240106015</t>
  </si>
  <si>
    <t>3240105287</t>
  </si>
  <si>
    <t>3240105127</t>
  </si>
  <si>
    <t>3240106322</t>
  </si>
  <si>
    <t>3240106016</t>
  </si>
  <si>
    <t>3240101989</t>
  </si>
  <si>
    <t>3240105863</t>
  </si>
  <si>
    <t>3240104840</t>
  </si>
  <si>
    <t>3240101966</t>
  </si>
  <si>
    <t>3240105829</t>
  </si>
  <si>
    <t>3240102248</t>
  </si>
  <si>
    <t>3240106427</t>
  </si>
  <si>
    <t>3240101429</t>
  </si>
  <si>
    <t>3240101449</t>
  </si>
  <si>
    <t>3240106439</t>
  </si>
  <si>
    <t>3240105265</t>
  </si>
  <si>
    <t>3240100733</t>
  </si>
  <si>
    <t>3240105292</t>
  </si>
  <si>
    <t>3240106110</t>
  </si>
  <si>
    <t>3240101438</t>
  </si>
  <si>
    <t>3240106267</t>
  </si>
  <si>
    <t>3240105129</t>
  </si>
  <si>
    <t>3240102569</t>
  </si>
  <si>
    <t>3240101448</t>
  </si>
  <si>
    <t>3240101990</t>
  </si>
  <si>
    <t>3240101440</t>
  </si>
  <si>
    <t>3240106440</t>
  </si>
  <si>
    <t>3240102614</t>
  </si>
  <si>
    <t>3240102597</t>
  </si>
  <si>
    <t>3240102706</t>
  </si>
  <si>
    <t>3240102244</t>
  </si>
  <si>
    <t>3240102712</t>
  </si>
  <si>
    <t>3240102242</t>
  </si>
  <si>
    <t>3240102661</t>
  </si>
  <si>
    <t>3240102596</t>
  </si>
  <si>
    <t>3240102697</t>
  </si>
  <si>
    <t>3240105282</t>
  </si>
  <si>
    <t>3240100615</t>
  </si>
  <si>
    <t>3240102682</t>
  </si>
  <si>
    <t>3240102700</t>
  </si>
  <si>
    <t>3240100348</t>
  </si>
  <si>
    <t>3240102589</t>
  </si>
  <si>
    <t>3240102246</t>
  </si>
  <si>
    <t>3240102615</t>
  </si>
  <si>
    <t>3240102613</t>
  </si>
  <si>
    <t>3240102689</t>
  </si>
  <si>
    <t>3240102579</t>
  </si>
  <si>
    <t>3240100485</t>
  </si>
  <si>
    <t>3240100817</t>
  </si>
  <si>
    <t>3240102695</t>
  </si>
  <si>
    <t>3240100244</t>
  </si>
  <si>
    <t>3240100576</t>
  </si>
  <si>
    <t>3240102600</t>
  </si>
  <si>
    <t>3240100466</t>
  </si>
  <si>
    <t>3240100483</t>
  </si>
  <si>
    <t>3240100597</t>
  </si>
  <si>
    <t>3240102606</t>
  </si>
  <si>
    <t>3240102617</t>
  </si>
  <si>
    <t>3240101156</t>
  </si>
  <si>
    <t>3240105923</t>
  </si>
  <si>
    <t>3240100421</t>
  </si>
  <si>
    <t>3240100498</t>
  </si>
  <si>
    <t>3240101150</t>
  </si>
  <si>
    <t>3240102662</t>
  </si>
  <si>
    <t>3240106266</t>
  </si>
  <si>
    <t>3240100826</t>
  </si>
  <si>
    <t>3240102707</t>
  </si>
  <si>
    <t>3240102678</t>
  </si>
  <si>
    <t>3240102630</t>
  </si>
  <si>
    <t>3240102572</t>
  </si>
  <si>
    <t>3240102654</t>
  </si>
  <si>
    <t>3240102679</t>
  </si>
  <si>
    <t>3240102687</t>
  </si>
  <si>
    <t>3240105780</t>
  </si>
  <si>
    <t>3240100516</t>
  </si>
  <si>
    <t>3240100848</t>
  </si>
  <si>
    <t>3240102683</t>
  </si>
  <si>
    <t>3240102693</t>
  </si>
  <si>
    <t>3240100814</t>
  </si>
  <si>
    <t>3240100915</t>
  </si>
  <si>
    <t>3240102621</t>
  </si>
  <si>
    <t>3240105926</t>
  </si>
  <si>
    <t>3240105286</t>
  </si>
  <si>
    <t>3240102699</t>
  </si>
  <si>
    <t>3240102688</t>
  </si>
  <si>
    <t>3240100965</t>
  </si>
  <si>
    <t>3240105779</t>
  </si>
  <si>
    <t>3240106431</t>
  </si>
  <si>
    <t>3240102608</t>
  </si>
  <si>
    <t>3240100486</t>
  </si>
  <si>
    <t>3240102627</t>
  </si>
  <si>
    <t>3240102653</t>
  </si>
  <si>
    <t>3240102659</t>
  </si>
  <si>
    <t>3240105888</t>
  </si>
  <si>
    <t>3240106432</t>
  </si>
  <si>
    <t>3240105903</t>
  </si>
  <si>
    <t>3240106334</t>
  </si>
  <si>
    <t>3240106362</t>
  </si>
  <si>
    <t>学年平均绩点排名</t>
    <phoneticPr fontId="4" type="noConversion"/>
  </si>
  <si>
    <t>学年总绩点排名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</si>
</sst>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EC98-F6C8-4168-B98D-45D852A9AB9E}">
  <sheetPr>
    <outlinePr summaryBelow="0" summaryRight="0"/>
  </sheetPr>
  <dimension ref="A1:H21"/>
  <sheetViews>
    <sheetView zoomScaleNormal="100" workbookViewId="0">
      <selection activeCell="K18" sqref="K18"/>
    </sheetView>
  </sheetViews>
  <sheetFormatPr defaultColWidth="8.6328125" defaultRowHeight="12.45" customHeight="1" x14ac:dyDescent="0.3"/>
  <cols>
    <col min="1" max="1" width="11.90625" style="8" customWidth="1"/>
    <col min="2" max="2" width="8.1796875" style="8" customWidth="1"/>
    <col min="3" max="3" width="11.26953125" style="8" customWidth="1"/>
    <col min="4" max="4" width="7.54296875" style="8" customWidth="1"/>
    <col min="5" max="5" width="11.1796875" style="8" customWidth="1"/>
    <col min="6" max="6" width="9.7265625" style="8" customWidth="1"/>
    <col min="7" max="7" width="8.81640625" style="8" customWidth="1"/>
    <col min="8" max="8" width="7.453125" style="8" customWidth="1"/>
    <col min="9" max="16384" width="8.6328125" style="5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" customHeight="1" x14ac:dyDescent="0.3">
      <c r="A2" s="2" t="s">
        <v>6</v>
      </c>
      <c r="B2" s="2">
        <v>52</v>
      </c>
      <c r="C2" s="2">
        <v>4.6100000000000003</v>
      </c>
      <c r="D2" s="2">
        <v>239.65</v>
      </c>
      <c r="E2" s="6">
        <f t="shared" ref="E2:E21" si="0">_xlfn.RANK.EQ(C2,C:C,0)</f>
        <v>1</v>
      </c>
      <c r="F2" s="6">
        <f t="shared" ref="F2:F21" si="1">_xlfn.RANK.EQ(D2,D:D,0)</f>
        <v>2</v>
      </c>
      <c r="G2" s="2">
        <f t="shared" ref="G2:G21" si="2">E2*0.7+F2*0.3</f>
        <v>1.2999999999999998</v>
      </c>
      <c r="H2" s="7">
        <v>1</v>
      </c>
    </row>
    <row r="3" spans="1:8" ht="12.45" customHeight="1" x14ac:dyDescent="0.3">
      <c r="A3" s="2" t="s">
        <v>7</v>
      </c>
      <c r="B3" s="2">
        <v>53</v>
      </c>
      <c r="C3" s="2">
        <v>4.38</v>
      </c>
      <c r="D3" s="2">
        <v>232.1</v>
      </c>
      <c r="E3" s="6">
        <f t="shared" si="0"/>
        <v>2</v>
      </c>
      <c r="F3" s="6">
        <f t="shared" si="1"/>
        <v>5</v>
      </c>
      <c r="G3" s="2">
        <f t="shared" si="2"/>
        <v>2.9</v>
      </c>
      <c r="H3" s="7">
        <v>2</v>
      </c>
    </row>
    <row r="4" spans="1:8" ht="12.45" customHeight="1" x14ac:dyDescent="0.3">
      <c r="A4" s="2" t="s">
        <v>8</v>
      </c>
      <c r="B4" s="2">
        <v>54</v>
      </c>
      <c r="C4" s="2">
        <v>4.37</v>
      </c>
      <c r="D4" s="2">
        <v>236.2</v>
      </c>
      <c r="E4" s="6">
        <f t="shared" si="0"/>
        <v>3</v>
      </c>
      <c r="F4" s="6">
        <f t="shared" si="1"/>
        <v>4</v>
      </c>
      <c r="G4" s="2">
        <f t="shared" si="2"/>
        <v>3.3</v>
      </c>
      <c r="H4" s="7">
        <v>3</v>
      </c>
    </row>
    <row r="5" spans="1:8" ht="12.45" customHeight="1" x14ac:dyDescent="0.3">
      <c r="A5" s="2" t="s">
        <v>9</v>
      </c>
      <c r="B5" s="2">
        <v>58.5</v>
      </c>
      <c r="C5" s="2">
        <v>4.18</v>
      </c>
      <c r="D5" s="2">
        <v>244.7</v>
      </c>
      <c r="E5" s="6">
        <f t="shared" si="0"/>
        <v>5</v>
      </c>
      <c r="F5" s="6">
        <f t="shared" si="1"/>
        <v>1</v>
      </c>
      <c r="G5" s="2">
        <f t="shared" si="2"/>
        <v>3.8</v>
      </c>
      <c r="H5" s="7">
        <v>4</v>
      </c>
    </row>
    <row r="6" spans="1:8" ht="12.45" customHeight="1" x14ac:dyDescent="0.3">
      <c r="A6" s="2" t="s">
        <v>10</v>
      </c>
      <c r="B6" s="2">
        <v>56.5</v>
      </c>
      <c r="C6" s="2">
        <v>4.18</v>
      </c>
      <c r="D6" s="2">
        <v>236.45</v>
      </c>
      <c r="E6" s="6">
        <f t="shared" si="0"/>
        <v>5</v>
      </c>
      <c r="F6" s="6">
        <f t="shared" si="1"/>
        <v>3</v>
      </c>
      <c r="G6" s="2">
        <f t="shared" si="2"/>
        <v>4.4000000000000004</v>
      </c>
      <c r="H6" s="7">
        <v>5</v>
      </c>
    </row>
    <row r="7" spans="1:8" ht="12.45" customHeight="1" x14ac:dyDescent="0.3">
      <c r="A7" s="2" t="s">
        <v>11</v>
      </c>
      <c r="B7" s="2">
        <v>52</v>
      </c>
      <c r="C7" s="2">
        <v>4.25</v>
      </c>
      <c r="D7" s="2">
        <v>221.2</v>
      </c>
      <c r="E7" s="6">
        <f t="shared" si="0"/>
        <v>4</v>
      </c>
      <c r="F7" s="6">
        <f t="shared" si="1"/>
        <v>6</v>
      </c>
      <c r="G7" s="2">
        <f t="shared" si="2"/>
        <v>4.5999999999999996</v>
      </c>
      <c r="H7" s="7">
        <v>6</v>
      </c>
    </row>
    <row r="8" spans="1:8" ht="12.45" customHeight="1" x14ac:dyDescent="0.3">
      <c r="A8" s="2" t="s">
        <v>12</v>
      </c>
      <c r="B8" s="2">
        <v>51</v>
      </c>
      <c r="C8" s="2">
        <v>4.18</v>
      </c>
      <c r="D8" s="2">
        <v>213.25</v>
      </c>
      <c r="E8" s="6">
        <f t="shared" si="0"/>
        <v>5</v>
      </c>
      <c r="F8" s="6">
        <f t="shared" si="1"/>
        <v>8</v>
      </c>
      <c r="G8" s="2">
        <f t="shared" si="2"/>
        <v>5.9</v>
      </c>
      <c r="H8" s="7">
        <v>7</v>
      </c>
    </row>
    <row r="9" spans="1:8" ht="12.45" customHeight="1" x14ac:dyDescent="0.3">
      <c r="A9" s="2" t="s">
        <v>13</v>
      </c>
      <c r="B9" s="2">
        <v>53</v>
      </c>
      <c r="C9" s="2">
        <v>4.07</v>
      </c>
      <c r="D9" s="2">
        <v>215.5</v>
      </c>
      <c r="E9" s="6">
        <f t="shared" si="0"/>
        <v>9</v>
      </c>
      <c r="F9" s="6">
        <f t="shared" si="1"/>
        <v>7</v>
      </c>
      <c r="G9" s="2">
        <f t="shared" si="2"/>
        <v>8.4</v>
      </c>
      <c r="H9" s="7">
        <v>8</v>
      </c>
    </row>
    <row r="10" spans="1:8" ht="12.45" customHeight="1" x14ac:dyDescent="0.3">
      <c r="A10" s="2" t="s">
        <v>14</v>
      </c>
      <c r="B10" s="2">
        <v>51.5</v>
      </c>
      <c r="C10" s="2">
        <v>4.0999999999999996</v>
      </c>
      <c r="D10" s="2">
        <v>211.2</v>
      </c>
      <c r="E10" s="6">
        <f t="shared" si="0"/>
        <v>8</v>
      </c>
      <c r="F10" s="6">
        <f t="shared" si="1"/>
        <v>10</v>
      </c>
      <c r="G10" s="2">
        <f t="shared" si="2"/>
        <v>8.6</v>
      </c>
      <c r="H10" s="7">
        <v>9</v>
      </c>
    </row>
    <row r="11" spans="1:8" ht="12.45" customHeight="1" x14ac:dyDescent="0.3">
      <c r="A11" s="2" t="s">
        <v>15</v>
      </c>
      <c r="B11" s="2">
        <v>51.5</v>
      </c>
      <c r="C11" s="2">
        <v>4.07</v>
      </c>
      <c r="D11" s="2">
        <v>209.65</v>
      </c>
      <c r="E11" s="6">
        <f t="shared" si="0"/>
        <v>9</v>
      </c>
      <c r="F11" s="6">
        <f t="shared" si="1"/>
        <v>11</v>
      </c>
      <c r="G11" s="2">
        <f t="shared" si="2"/>
        <v>9.6</v>
      </c>
      <c r="H11" s="7">
        <v>10</v>
      </c>
    </row>
    <row r="12" spans="1:8" ht="12.45" customHeight="1" x14ac:dyDescent="0.3">
      <c r="A12" s="2" t="s">
        <v>16</v>
      </c>
      <c r="B12" s="2">
        <v>51</v>
      </c>
      <c r="C12" s="2">
        <v>3.9</v>
      </c>
      <c r="D12" s="2">
        <v>199</v>
      </c>
      <c r="E12" s="6">
        <f t="shared" si="0"/>
        <v>11</v>
      </c>
      <c r="F12" s="6">
        <f t="shared" si="1"/>
        <v>12</v>
      </c>
      <c r="G12" s="2">
        <f t="shared" si="2"/>
        <v>11.299999999999999</v>
      </c>
      <c r="H12" s="7">
        <v>11</v>
      </c>
    </row>
    <row r="13" spans="1:8" ht="12.45" customHeight="1" x14ac:dyDescent="0.3">
      <c r="A13" s="2" t="s">
        <v>17</v>
      </c>
      <c r="B13" s="2">
        <v>50.5</v>
      </c>
      <c r="C13" s="2">
        <v>3.86</v>
      </c>
      <c r="D13" s="2">
        <v>194.8</v>
      </c>
      <c r="E13" s="6">
        <f t="shared" si="0"/>
        <v>12</v>
      </c>
      <c r="F13" s="6">
        <f t="shared" si="1"/>
        <v>13</v>
      </c>
      <c r="G13" s="2">
        <f t="shared" si="2"/>
        <v>12.299999999999999</v>
      </c>
      <c r="H13" s="7">
        <v>12</v>
      </c>
    </row>
    <row r="14" spans="1:8" ht="12.45" customHeight="1" x14ac:dyDescent="0.3">
      <c r="A14" s="2" t="s">
        <v>18</v>
      </c>
      <c r="B14" s="2">
        <v>57</v>
      </c>
      <c r="C14" s="2">
        <v>3.71</v>
      </c>
      <c r="D14" s="2">
        <v>211.4</v>
      </c>
      <c r="E14" s="6">
        <f t="shared" si="0"/>
        <v>14</v>
      </c>
      <c r="F14" s="6">
        <f t="shared" si="1"/>
        <v>9</v>
      </c>
      <c r="G14" s="2">
        <f t="shared" si="2"/>
        <v>12.499999999999998</v>
      </c>
      <c r="H14" s="7">
        <v>13</v>
      </c>
    </row>
    <row r="15" spans="1:8" ht="12.45" customHeight="1" x14ac:dyDescent="0.3">
      <c r="A15" s="2" t="s">
        <v>19</v>
      </c>
      <c r="B15" s="2">
        <v>45.5</v>
      </c>
      <c r="C15" s="2">
        <v>3.75</v>
      </c>
      <c r="D15" s="2">
        <v>191.5</v>
      </c>
      <c r="E15" s="6">
        <f t="shared" si="0"/>
        <v>13</v>
      </c>
      <c r="F15" s="6">
        <f t="shared" si="1"/>
        <v>14</v>
      </c>
      <c r="G15" s="2">
        <f t="shared" si="2"/>
        <v>13.3</v>
      </c>
      <c r="H15" s="7">
        <v>14</v>
      </c>
    </row>
    <row r="16" spans="1:8" ht="12.45" customHeight="1" x14ac:dyDescent="0.3">
      <c r="A16" s="2" t="s">
        <v>20</v>
      </c>
      <c r="B16" s="2">
        <v>49.5</v>
      </c>
      <c r="C16" s="2">
        <v>3.68</v>
      </c>
      <c r="D16" s="2">
        <v>182.25</v>
      </c>
      <c r="E16" s="6">
        <f t="shared" si="0"/>
        <v>15</v>
      </c>
      <c r="F16" s="6">
        <f t="shared" si="1"/>
        <v>15</v>
      </c>
      <c r="G16" s="2">
        <f t="shared" si="2"/>
        <v>15</v>
      </c>
      <c r="H16" s="7">
        <v>15</v>
      </c>
    </row>
    <row r="17" spans="1:8" ht="12.45" customHeight="1" x14ac:dyDescent="0.3">
      <c r="A17" s="2" t="s">
        <v>21</v>
      </c>
      <c r="B17" s="2">
        <v>49.5</v>
      </c>
      <c r="C17" s="2">
        <v>3.54</v>
      </c>
      <c r="D17" s="2">
        <v>175.2</v>
      </c>
      <c r="E17" s="6">
        <f t="shared" si="0"/>
        <v>16</v>
      </c>
      <c r="F17" s="6">
        <f t="shared" si="1"/>
        <v>16</v>
      </c>
      <c r="G17" s="2">
        <f t="shared" si="2"/>
        <v>16</v>
      </c>
      <c r="H17" s="7">
        <v>16</v>
      </c>
    </row>
    <row r="18" spans="1:8" ht="12.45" customHeight="1" x14ac:dyDescent="0.3">
      <c r="A18" s="2" t="s">
        <v>22</v>
      </c>
      <c r="B18" s="2">
        <v>50</v>
      </c>
      <c r="C18" s="2">
        <v>3.37</v>
      </c>
      <c r="D18" s="2">
        <v>168.6</v>
      </c>
      <c r="E18" s="6">
        <f t="shared" si="0"/>
        <v>17</v>
      </c>
      <c r="F18" s="6">
        <f t="shared" si="1"/>
        <v>17</v>
      </c>
      <c r="G18" s="2">
        <f t="shared" si="2"/>
        <v>17</v>
      </c>
      <c r="H18" s="7">
        <v>17</v>
      </c>
    </row>
    <row r="19" spans="1:8" ht="12.45" customHeight="1" x14ac:dyDescent="0.3">
      <c r="A19" s="2" t="s">
        <v>23</v>
      </c>
      <c r="B19" s="2">
        <v>50</v>
      </c>
      <c r="C19" s="2">
        <v>3.31</v>
      </c>
      <c r="D19" s="2">
        <v>165.45</v>
      </c>
      <c r="E19" s="6">
        <f t="shared" si="0"/>
        <v>18</v>
      </c>
      <c r="F19" s="6">
        <f t="shared" si="1"/>
        <v>18</v>
      </c>
      <c r="G19" s="2">
        <f t="shared" si="2"/>
        <v>18</v>
      </c>
      <c r="H19" s="7">
        <v>18</v>
      </c>
    </row>
    <row r="20" spans="1:8" ht="12.45" customHeight="1" x14ac:dyDescent="0.3">
      <c r="A20" s="2" t="s">
        <v>24</v>
      </c>
      <c r="B20" s="2">
        <v>41.5</v>
      </c>
      <c r="C20" s="2">
        <v>2.67</v>
      </c>
      <c r="D20" s="2">
        <v>125.55</v>
      </c>
      <c r="E20" s="6">
        <f t="shared" si="0"/>
        <v>19</v>
      </c>
      <c r="F20" s="6">
        <f t="shared" si="1"/>
        <v>19</v>
      </c>
      <c r="G20" s="2">
        <f t="shared" si="2"/>
        <v>19</v>
      </c>
      <c r="H20" s="7">
        <v>19</v>
      </c>
    </row>
    <row r="21" spans="1:8" ht="12.45" customHeight="1" x14ac:dyDescent="0.3">
      <c r="A21" s="2" t="s">
        <v>25</v>
      </c>
      <c r="B21" s="2">
        <v>28.5</v>
      </c>
      <c r="C21" s="2">
        <v>1.75</v>
      </c>
      <c r="D21" s="2">
        <v>86.4</v>
      </c>
      <c r="E21" s="6">
        <f t="shared" si="0"/>
        <v>20</v>
      </c>
      <c r="F21" s="6">
        <f t="shared" si="1"/>
        <v>20</v>
      </c>
      <c r="G21" s="2">
        <f t="shared" si="2"/>
        <v>20</v>
      </c>
      <c r="H21" s="7">
        <v>20</v>
      </c>
    </row>
  </sheetData>
  <autoFilter ref="A1:H21" xr:uid="{786A848C-A356-4EA9-BD2A-723FA9665D88}">
    <sortState xmlns:xlrd2="http://schemas.microsoft.com/office/spreadsheetml/2017/richdata2" ref="A3:H21">
      <sortCondition ref="H2:H21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B742-1D3D-41CD-9DC5-2C88987B48D7}">
  <sheetPr>
    <outlinePr summaryBelow="0" summaryRight="0"/>
  </sheetPr>
  <dimension ref="A1:H702"/>
  <sheetViews>
    <sheetView zoomScaleNormal="100" workbookViewId="0">
      <selection activeCell="J635" sqref="J635"/>
    </sheetView>
  </sheetViews>
  <sheetFormatPr defaultColWidth="8.6328125" defaultRowHeight="12.45" customHeight="1" x14ac:dyDescent="0.3"/>
  <cols>
    <col min="1" max="1" width="11.90625" style="8" customWidth="1"/>
    <col min="2" max="2" width="7.90625" style="8" customWidth="1"/>
    <col min="3" max="3" width="10.7265625" style="8" customWidth="1"/>
    <col min="4" max="4" width="7.90625" style="8" customWidth="1"/>
    <col min="5" max="5" width="10" style="8" customWidth="1"/>
    <col min="6" max="6" width="9.08984375" style="8" customWidth="1"/>
    <col min="7" max="7" width="11.36328125" style="8" customWidth="1"/>
    <col min="8" max="8" width="7.453125" style="8" customWidth="1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26</v>
      </c>
      <c r="B2" s="2">
        <v>59</v>
      </c>
      <c r="C2" s="2">
        <v>4.7699999999999996</v>
      </c>
      <c r="D2" s="2">
        <v>281.7</v>
      </c>
      <c r="E2" s="6">
        <f>_xlfn.RANK.EQ(C2,C:C,0)</f>
        <v>3</v>
      </c>
      <c r="F2" s="6">
        <f>_xlfn.RANK.EQ(D2,D:D,0)</f>
        <v>3</v>
      </c>
      <c r="G2" s="2">
        <f>E2*0.7+F2*0.3</f>
        <v>2.9999999999999996</v>
      </c>
      <c r="H2" s="7">
        <v>1</v>
      </c>
    </row>
    <row r="3" spans="1:8" ht="12.45" customHeight="1" x14ac:dyDescent="0.3">
      <c r="A3" s="2" t="s">
        <v>27</v>
      </c>
      <c r="B3" s="2">
        <v>58.5</v>
      </c>
      <c r="C3" s="2">
        <v>4.72</v>
      </c>
      <c r="D3" s="2">
        <v>276.35000000000002</v>
      </c>
      <c r="E3" s="6">
        <f>_xlfn.RANK.EQ(C3,C:C,0)</f>
        <v>5</v>
      </c>
      <c r="F3" s="6">
        <f>_xlfn.RANK.EQ(D3,D:D,0)</f>
        <v>4</v>
      </c>
      <c r="G3" s="2">
        <f>E3*0.7+F3*0.3</f>
        <v>4.7</v>
      </c>
      <c r="H3" s="7">
        <v>2</v>
      </c>
    </row>
    <row r="4" spans="1:8" ht="12.45" customHeight="1" x14ac:dyDescent="0.3">
      <c r="A4" s="2" t="s">
        <v>28</v>
      </c>
      <c r="B4" s="2">
        <v>57</v>
      </c>
      <c r="C4" s="2">
        <v>4.78</v>
      </c>
      <c r="D4" s="2">
        <v>272.5</v>
      </c>
      <c r="E4" s="6">
        <f>_xlfn.RANK.EQ(C4,C:C,0)</f>
        <v>2</v>
      </c>
      <c r="F4" s="6">
        <f>_xlfn.RANK.EQ(D4,D:D,0)</f>
        <v>12</v>
      </c>
      <c r="G4" s="2">
        <f>E4*0.7+F4*0.3</f>
        <v>5</v>
      </c>
      <c r="H4" s="7">
        <v>3</v>
      </c>
    </row>
    <row r="5" spans="1:8" ht="12.45" customHeight="1" x14ac:dyDescent="0.3">
      <c r="A5" s="2" t="s">
        <v>29</v>
      </c>
      <c r="B5" s="2">
        <v>58</v>
      </c>
      <c r="C5" s="2">
        <v>4.72</v>
      </c>
      <c r="D5" s="2">
        <v>273.95</v>
      </c>
      <c r="E5" s="6">
        <f>_xlfn.RANK.EQ(C5,C:C,0)</f>
        <v>5</v>
      </c>
      <c r="F5" s="6">
        <f>_xlfn.RANK.EQ(D5,D:D,0)</f>
        <v>8</v>
      </c>
      <c r="G5" s="2">
        <f>E5*0.7+F5*0.3</f>
        <v>5.9</v>
      </c>
      <c r="H5" s="7">
        <v>4</v>
      </c>
    </row>
    <row r="6" spans="1:8" ht="12.45" customHeight="1" x14ac:dyDescent="0.3">
      <c r="A6" s="2" t="s">
        <v>30</v>
      </c>
      <c r="B6" s="2">
        <v>61.5</v>
      </c>
      <c r="C6" s="2">
        <v>4.7</v>
      </c>
      <c r="D6" s="2">
        <v>284.2</v>
      </c>
      <c r="E6" s="6">
        <f>_xlfn.RANK.EQ(C6,C:C,0)</f>
        <v>8</v>
      </c>
      <c r="F6" s="6">
        <f>_xlfn.RANK.EQ(D6,D:D,0)</f>
        <v>2</v>
      </c>
      <c r="G6" s="2">
        <f>E6*0.7+F6*0.3</f>
        <v>6.1999999999999993</v>
      </c>
      <c r="H6" s="7">
        <v>5</v>
      </c>
    </row>
    <row r="7" spans="1:8" ht="12.45" customHeight="1" x14ac:dyDescent="0.3">
      <c r="A7" s="2" t="s">
        <v>31</v>
      </c>
      <c r="B7" s="2">
        <v>55.5</v>
      </c>
      <c r="C7" s="2">
        <v>4.79</v>
      </c>
      <c r="D7" s="2">
        <v>265.8</v>
      </c>
      <c r="E7" s="6">
        <f>_xlfn.RANK.EQ(C7,C:C,0)</f>
        <v>1</v>
      </c>
      <c r="F7" s="6">
        <f>_xlfn.RANK.EQ(D7,D:D,0)</f>
        <v>23</v>
      </c>
      <c r="G7" s="2">
        <f>E7*0.7+F7*0.3</f>
        <v>7.6</v>
      </c>
      <c r="H7" s="7">
        <v>6</v>
      </c>
    </row>
    <row r="8" spans="1:8" ht="12.45" customHeight="1" x14ac:dyDescent="0.3">
      <c r="A8" s="2" t="s">
        <v>32</v>
      </c>
      <c r="B8" s="2">
        <v>58</v>
      </c>
      <c r="C8" s="2">
        <v>4.7</v>
      </c>
      <c r="D8" s="2">
        <v>272.75</v>
      </c>
      <c r="E8" s="6">
        <f>_xlfn.RANK.EQ(C8,C:C,0)</f>
        <v>8</v>
      </c>
      <c r="F8" s="6">
        <f>_xlfn.RANK.EQ(D8,D:D,0)</f>
        <v>10</v>
      </c>
      <c r="G8" s="2">
        <f>E8*0.7+F8*0.3</f>
        <v>8.6</v>
      </c>
      <c r="H8" s="7">
        <v>7</v>
      </c>
    </row>
    <row r="9" spans="1:8" ht="12.45" customHeight="1" x14ac:dyDescent="0.3">
      <c r="A9" s="2" t="s">
        <v>33</v>
      </c>
      <c r="B9" s="2">
        <v>57</v>
      </c>
      <c r="C9" s="2">
        <v>4.7</v>
      </c>
      <c r="D9" s="2">
        <v>268</v>
      </c>
      <c r="E9" s="6">
        <f>_xlfn.RANK.EQ(C9,C:C,0)</f>
        <v>8</v>
      </c>
      <c r="F9" s="6">
        <f>_xlfn.RANK.EQ(D9,D:D,0)</f>
        <v>17</v>
      </c>
      <c r="G9" s="2">
        <f>E9*0.7+F9*0.3</f>
        <v>10.7</v>
      </c>
      <c r="H9" s="7">
        <v>8</v>
      </c>
    </row>
    <row r="10" spans="1:8" ht="12.45" customHeight="1" x14ac:dyDescent="0.3">
      <c r="A10" s="2" t="s">
        <v>34</v>
      </c>
      <c r="B10" s="2">
        <v>61.5</v>
      </c>
      <c r="C10" s="2">
        <v>4.63</v>
      </c>
      <c r="D10" s="2">
        <v>284.85000000000002</v>
      </c>
      <c r="E10" s="6">
        <f>_xlfn.RANK.EQ(C10,C:C,0)</f>
        <v>15</v>
      </c>
      <c r="F10" s="6">
        <f>_xlfn.RANK.EQ(D10,D:D,0)</f>
        <v>1</v>
      </c>
      <c r="G10" s="2">
        <f>E10*0.7+F10*0.3</f>
        <v>10.8</v>
      </c>
      <c r="H10" s="7">
        <v>9</v>
      </c>
    </row>
    <row r="11" spans="1:8" ht="12.45" customHeight="1" x14ac:dyDescent="0.3">
      <c r="A11" s="2" t="s">
        <v>35</v>
      </c>
      <c r="B11" s="2">
        <v>56.5</v>
      </c>
      <c r="C11" s="2">
        <v>4.71</v>
      </c>
      <c r="D11" s="2">
        <v>266.10000000000002</v>
      </c>
      <c r="E11" s="6">
        <f>_xlfn.RANK.EQ(C11,C:C,0)</f>
        <v>7</v>
      </c>
      <c r="F11" s="6">
        <f>_xlfn.RANK.EQ(D11,D:D,0)</f>
        <v>22</v>
      </c>
      <c r="G11" s="2">
        <f>E11*0.7+F11*0.3</f>
        <v>11.5</v>
      </c>
      <c r="H11" s="7">
        <v>10</v>
      </c>
    </row>
    <row r="12" spans="1:8" ht="12.45" customHeight="1" x14ac:dyDescent="0.3">
      <c r="A12" s="2" t="s">
        <v>36</v>
      </c>
      <c r="B12" s="2">
        <v>55.5</v>
      </c>
      <c r="C12" s="2">
        <v>4.76</v>
      </c>
      <c r="D12" s="2">
        <v>264.14999999999998</v>
      </c>
      <c r="E12" s="6">
        <f>_xlfn.RANK.EQ(C12,C:C,0)</f>
        <v>4</v>
      </c>
      <c r="F12" s="6">
        <f>_xlfn.RANK.EQ(D12,D:D,0)</f>
        <v>30</v>
      </c>
      <c r="G12" s="2">
        <f>E12*0.7+F12*0.3</f>
        <v>11.8</v>
      </c>
      <c r="H12" s="7">
        <v>11</v>
      </c>
    </row>
    <row r="13" spans="1:8" ht="12.45" customHeight="1" x14ac:dyDescent="0.3">
      <c r="A13" s="2" t="s">
        <v>37</v>
      </c>
      <c r="B13" s="2">
        <v>59.5</v>
      </c>
      <c r="C13" s="2">
        <v>4.62</v>
      </c>
      <c r="D13" s="2">
        <v>274.75</v>
      </c>
      <c r="E13" s="6">
        <f>_xlfn.RANK.EQ(C13,C:C,0)</f>
        <v>18</v>
      </c>
      <c r="F13" s="6">
        <f>_xlfn.RANK.EQ(D13,D:D,0)</f>
        <v>6</v>
      </c>
      <c r="G13" s="2">
        <f>E13*0.7+F13*0.3</f>
        <v>14.399999999999999</v>
      </c>
      <c r="H13" s="7">
        <v>12</v>
      </c>
    </row>
    <row r="14" spans="1:8" ht="12.45" customHeight="1" x14ac:dyDescent="0.3">
      <c r="A14" s="2" t="s">
        <v>38</v>
      </c>
      <c r="B14" s="2">
        <v>59.5</v>
      </c>
      <c r="C14" s="2">
        <v>4.63</v>
      </c>
      <c r="D14" s="2">
        <v>270.89999999999998</v>
      </c>
      <c r="E14" s="6">
        <f>_xlfn.RANK.EQ(C14,C:C,0)</f>
        <v>15</v>
      </c>
      <c r="F14" s="6">
        <f>_xlfn.RANK.EQ(D14,D:D,0)</f>
        <v>14</v>
      </c>
      <c r="G14" s="2">
        <f>E14*0.7+F14*0.3</f>
        <v>14.7</v>
      </c>
      <c r="H14" s="7">
        <v>13</v>
      </c>
    </row>
    <row r="15" spans="1:8" ht="12.45" customHeight="1" x14ac:dyDescent="0.3">
      <c r="A15" s="2" t="s">
        <v>39</v>
      </c>
      <c r="B15" s="2">
        <v>60</v>
      </c>
      <c r="C15" s="2">
        <v>4.58</v>
      </c>
      <c r="D15" s="2">
        <v>274.95</v>
      </c>
      <c r="E15" s="6">
        <f>_xlfn.RANK.EQ(C15,C:C,0)</f>
        <v>26</v>
      </c>
      <c r="F15" s="6">
        <f>_xlfn.RANK.EQ(D15,D:D,0)</f>
        <v>5</v>
      </c>
      <c r="G15" s="2">
        <f>E15*0.7+F15*0.3</f>
        <v>19.7</v>
      </c>
      <c r="H15" s="7">
        <v>14</v>
      </c>
    </row>
    <row r="16" spans="1:8" ht="12.45" customHeight="1" x14ac:dyDescent="0.3">
      <c r="A16" s="2" t="s">
        <v>40</v>
      </c>
      <c r="B16" s="2">
        <v>60</v>
      </c>
      <c r="C16" s="2">
        <v>4.58</v>
      </c>
      <c r="D16" s="2">
        <v>274.60000000000002</v>
      </c>
      <c r="E16" s="6">
        <f>_xlfn.RANK.EQ(C16,C:C,0)</f>
        <v>26</v>
      </c>
      <c r="F16" s="6">
        <f>_xlfn.RANK.EQ(D16,D:D,0)</f>
        <v>7</v>
      </c>
      <c r="G16" s="2">
        <f>E16*0.7+F16*0.3</f>
        <v>20.3</v>
      </c>
      <c r="H16" s="7">
        <v>15</v>
      </c>
    </row>
    <row r="17" spans="1:8" ht="12.45" customHeight="1" x14ac:dyDescent="0.3">
      <c r="A17" s="2" t="s">
        <v>41</v>
      </c>
      <c r="B17" s="2">
        <v>58</v>
      </c>
      <c r="C17" s="2">
        <v>4.5999999999999996</v>
      </c>
      <c r="D17" s="2">
        <v>266.8</v>
      </c>
      <c r="E17" s="6">
        <f>_xlfn.RANK.EQ(C17,C:C,0)</f>
        <v>22</v>
      </c>
      <c r="F17" s="6">
        <f>_xlfn.RANK.EQ(D17,D:D,0)</f>
        <v>20</v>
      </c>
      <c r="G17" s="2">
        <f>E17*0.7+F17*0.3</f>
        <v>21.4</v>
      </c>
      <c r="H17" s="7">
        <v>16</v>
      </c>
    </row>
    <row r="18" spans="1:8" ht="12.45" customHeight="1" x14ac:dyDescent="0.3">
      <c r="A18" s="2" t="s">
        <v>42</v>
      </c>
      <c r="B18" s="2">
        <v>59.5</v>
      </c>
      <c r="C18" s="2">
        <v>4.57</v>
      </c>
      <c r="D18" s="2">
        <v>272</v>
      </c>
      <c r="E18" s="6">
        <f>_xlfn.RANK.EQ(C18,C:C,0)</f>
        <v>30</v>
      </c>
      <c r="F18" s="6">
        <f>_xlfn.RANK.EQ(D18,D:D,0)</f>
        <v>13</v>
      </c>
      <c r="G18" s="2">
        <f>E18*0.7+F18*0.3</f>
        <v>24.9</v>
      </c>
      <c r="H18" s="7">
        <v>17</v>
      </c>
    </row>
    <row r="19" spans="1:8" ht="12.45" customHeight="1" x14ac:dyDescent="0.3">
      <c r="A19" s="2" t="s">
        <v>43</v>
      </c>
      <c r="B19" s="2">
        <v>57</v>
      </c>
      <c r="C19" s="2">
        <v>4.5999999999999996</v>
      </c>
      <c r="D19" s="2">
        <v>262.25</v>
      </c>
      <c r="E19" s="6">
        <f>_xlfn.RANK.EQ(C19,C:C,0)</f>
        <v>22</v>
      </c>
      <c r="F19" s="6">
        <f>_xlfn.RANK.EQ(D19,D:D,0)</f>
        <v>33</v>
      </c>
      <c r="G19" s="2">
        <f>E19*0.7+F19*0.3</f>
        <v>25.299999999999997</v>
      </c>
      <c r="H19" s="7">
        <v>18</v>
      </c>
    </row>
    <row r="20" spans="1:8" ht="12.45" customHeight="1" x14ac:dyDescent="0.3">
      <c r="A20" s="2" t="s">
        <v>44</v>
      </c>
      <c r="B20" s="2">
        <v>54.5</v>
      </c>
      <c r="C20" s="2">
        <v>4.6399999999999997</v>
      </c>
      <c r="D20" s="2">
        <v>252.85</v>
      </c>
      <c r="E20" s="6">
        <f>_xlfn.RANK.EQ(C20,C:C,0)</f>
        <v>12</v>
      </c>
      <c r="F20" s="6">
        <f>_xlfn.RANK.EQ(D20,D:D,0)</f>
        <v>61</v>
      </c>
      <c r="G20" s="2">
        <f>E20*0.7+F20*0.3</f>
        <v>26.7</v>
      </c>
      <c r="H20" s="7">
        <v>19</v>
      </c>
    </row>
    <row r="21" spans="1:8" ht="12.45" customHeight="1" x14ac:dyDescent="0.3">
      <c r="A21" s="2" t="s">
        <v>45</v>
      </c>
      <c r="B21" s="2">
        <v>54.5</v>
      </c>
      <c r="C21" s="2">
        <v>4.6399999999999997</v>
      </c>
      <c r="D21" s="2">
        <v>252.7</v>
      </c>
      <c r="E21" s="6">
        <f>_xlfn.RANK.EQ(C21,C:C,0)</f>
        <v>12</v>
      </c>
      <c r="F21" s="6">
        <f>_xlfn.RANK.EQ(D21,D:D,0)</f>
        <v>62</v>
      </c>
      <c r="G21" s="2">
        <f>E21*0.7+F21*0.3</f>
        <v>26.999999999999996</v>
      </c>
      <c r="H21" s="7">
        <v>20</v>
      </c>
    </row>
    <row r="22" spans="1:8" ht="12.45" customHeight="1" x14ac:dyDescent="0.3">
      <c r="A22" s="2" t="s">
        <v>46</v>
      </c>
      <c r="B22" s="2">
        <v>60</v>
      </c>
      <c r="C22" s="2">
        <v>4.55</v>
      </c>
      <c r="D22" s="2">
        <v>272.89999999999998</v>
      </c>
      <c r="E22" s="6">
        <f>_xlfn.RANK.EQ(C22,C:C,0)</f>
        <v>36</v>
      </c>
      <c r="F22" s="6">
        <f>_xlfn.RANK.EQ(D22,D:D,0)</f>
        <v>9</v>
      </c>
      <c r="G22" s="2">
        <f>E22*0.7+F22*0.3</f>
        <v>27.9</v>
      </c>
      <c r="H22" s="7">
        <v>21</v>
      </c>
    </row>
    <row r="23" spans="1:8" ht="12.45" customHeight="1" x14ac:dyDescent="0.3">
      <c r="A23" s="2" t="s">
        <v>47</v>
      </c>
      <c r="B23" s="2">
        <v>54</v>
      </c>
      <c r="C23" s="2">
        <v>4.6399999999999997</v>
      </c>
      <c r="D23" s="2">
        <v>250.55</v>
      </c>
      <c r="E23" s="6">
        <f>_xlfn.RANK.EQ(C23,C:C,0)</f>
        <v>12</v>
      </c>
      <c r="F23" s="6">
        <f>_xlfn.RANK.EQ(D23,D:D,0)</f>
        <v>70</v>
      </c>
      <c r="G23" s="2">
        <f>E23*0.7+F23*0.3</f>
        <v>29.4</v>
      </c>
      <c r="H23" s="7">
        <v>22</v>
      </c>
    </row>
    <row r="24" spans="1:8" ht="12.45" customHeight="1" x14ac:dyDescent="0.3">
      <c r="A24" s="2" t="s">
        <v>49</v>
      </c>
      <c r="B24" s="2">
        <v>59</v>
      </c>
      <c r="C24" s="2">
        <v>4.55</v>
      </c>
      <c r="D24" s="2">
        <v>268.39999999999998</v>
      </c>
      <c r="E24" s="6">
        <f>_xlfn.RANK.EQ(C24,C:C,0)</f>
        <v>36</v>
      </c>
      <c r="F24" s="6">
        <f>_xlfn.RANK.EQ(D24,D:D,0)</f>
        <v>16</v>
      </c>
      <c r="G24" s="2">
        <f>E24*0.7+F24*0.3</f>
        <v>30</v>
      </c>
      <c r="H24" s="7">
        <v>23</v>
      </c>
    </row>
    <row r="25" spans="1:8" ht="12.45" customHeight="1" x14ac:dyDescent="0.3">
      <c r="A25" s="2" t="s">
        <v>48</v>
      </c>
      <c r="B25" s="2">
        <v>58.5</v>
      </c>
      <c r="C25" s="2">
        <v>4.5599999999999996</v>
      </c>
      <c r="D25" s="2">
        <v>266.60000000000002</v>
      </c>
      <c r="E25" s="6">
        <f>_xlfn.RANK.EQ(C25,C:C,0)</f>
        <v>34</v>
      </c>
      <c r="F25" s="6">
        <f>_xlfn.RANK.EQ(D25,D:D,0)</f>
        <v>21</v>
      </c>
      <c r="G25" s="2">
        <f>E25*0.7+F25*0.3</f>
        <v>30.099999999999998</v>
      </c>
      <c r="H25" s="7">
        <v>24</v>
      </c>
    </row>
    <row r="26" spans="1:8" ht="12.45" customHeight="1" x14ac:dyDescent="0.3">
      <c r="A26" s="2" t="s">
        <v>50</v>
      </c>
      <c r="B26" s="2">
        <v>57.5</v>
      </c>
      <c r="C26" s="2">
        <v>4.57</v>
      </c>
      <c r="D26" s="2">
        <v>262.75</v>
      </c>
      <c r="E26" s="6">
        <f>_xlfn.RANK.EQ(C26,C:C,0)</f>
        <v>30</v>
      </c>
      <c r="F26" s="6">
        <f>_xlfn.RANK.EQ(D26,D:D,0)</f>
        <v>32</v>
      </c>
      <c r="G26" s="2">
        <f>E26*0.7+F26*0.3</f>
        <v>30.6</v>
      </c>
      <c r="H26" s="7">
        <v>25</v>
      </c>
    </row>
    <row r="27" spans="1:8" ht="12.45" customHeight="1" x14ac:dyDescent="0.3">
      <c r="A27" s="2" t="s">
        <v>51</v>
      </c>
      <c r="B27" s="2">
        <v>56</v>
      </c>
      <c r="C27" s="2">
        <v>4.58</v>
      </c>
      <c r="D27" s="2">
        <v>256.25</v>
      </c>
      <c r="E27" s="6">
        <f>_xlfn.RANK.EQ(C27,C:C,0)</f>
        <v>26</v>
      </c>
      <c r="F27" s="6">
        <f>_xlfn.RANK.EQ(D27,D:D,0)</f>
        <v>46</v>
      </c>
      <c r="G27" s="2">
        <f>E27*0.7+F27*0.3</f>
        <v>32</v>
      </c>
      <c r="H27" s="7">
        <v>26</v>
      </c>
    </row>
    <row r="28" spans="1:8" ht="12.45" customHeight="1" x14ac:dyDescent="0.3">
      <c r="A28" s="2" t="s">
        <v>52</v>
      </c>
      <c r="B28" s="2">
        <v>54</v>
      </c>
      <c r="C28" s="2">
        <v>4.63</v>
      </c>
      <c r="D28" s="2">
        <v>249.75</v>
      </c>
      <c r="E28" s="6">
        <f>_xlfn.RANK.EQ(C28,C:C,0)</f>
        <v>15</v>
      </c>
      <c r="F28" s="6">
        <f>_xlfn.RANK.EQ(D28,D:D,0)</f>
        <v>77</v>
      </c>
      <c r="G28" s="2">
        <f>E28*0.7+F28*0.3</f>
        <v>33.599999999999994</v>
      </c>
      <c r="H28" s="7">
        <v>27</v>
      </c>
    </row>
    <row r="29" spans="1:8" ht="12.45" customHeight="1" x14ac:dyDescent="0.3">
      <c r="A29" s="2" t="s">
        <v>60</v>
      </c>
      <c r="B29" s="2">
        <v>59</v>
      </c>
      <c r="C29" s="2">
        <v>4.53</v>
      </c>
      <c r="D29" s="2">
        <v>267.10000000000002</v>
      </c>
      <c r="E29" s="6">
        <f>_xlfn.RANK.EQ(C29,C:C,0)</f>
        <v>43</v>
      </c>
      <c r="F29" s="6">
        <f>_xlfn.RANK.EQ(D29,D:D,0)</f>
        <v>19</v>
      </c>
      <c r="G29" s="2">
        <f>E29*0.7+F29*0.3</f>
        <v>35.799999999999997</v>
      </c>
      <c r="H29" s="7">
        <v>28</v>
      </c>
    </row>
    <row r="30" spans="1:8" ht="12.45" customHeight="1" x14ac:dyDescent="0.3">
      <c r="A30" s="2" t="s">
        <v>53</v>
      </c>
      <c r="B30" s="2">
        <v>55.5</v>
      </c>
      <c r="C30" s="2">
        <v>4.57</v>
      </c>
      <c r="D30" s="2">
        <v>253.8</v>
      </c>
      <c r="E30" s="6">
        <f>_xlfn.RANK.EQ(C30,C:C,0)</f>
        <v>30</v>
      </c>
      <c r="F30" s="6">
        <f>_xlfn.RANK.EQ(D30,D:D,0)</f>
        <v>59</v>
      </c>
      <c r="G30" s="2">
        <f>E30*0.7+F30*0.3</f>
        <v>38.700000000000003</v>
      </c>
      <c r="H30" s="7">
        <v>29</v>
      </c>
    </row>
    <row r="31" spans="1:8" ht="12.45" customHeight="1" x14ac:dyDescent="0.3">
      <c r="A31" s="2" t="s">
        <v>54</v>
      </c>
      <c r="B31" s="2">
        <v>56</v>
      </c>
      <c r="C31" s="2">
        <v>4.5599999999999996</v>
      </c>
      <c r="D31" s="2">
        <v>255.3</v>
      </c>
      <c r="E31" s="6">
        <f>_xlfn.RANK.EQ(C31,C:C,0)</f>
        <v>34</v>
      </c>
      <c r="F31" s="6">
        <f>_xlfn.RANK.EQ(D31,D:D,0)</f>
        <v>50</v>
      </c>
      <c r="G31" s="2">
        <f>E31*0.7+F31*0.3</f>
        <v>38.799999999999997</v>
      </c>
      <c r="H31" s="7">
        <v>30</v>
      </c>
    </row>
    <row r="32" spans="1:8" ht="12.45" customHeight="1" x14ac:dyDescent="0.3">
      <c r="A32" s="2" t="s">
        <v>55</v>
      </c>
      <c r="B32" s="2">
        <v>54</v>
      </c>
      <c r="C32" s="2">
        <v>4.6100000000000003</v>
      </c>
      <c r="D32" s="2">
        <v>248.75</v>
      </c>
      <c r="E32" s="6">
        <f>_xlfn.RANK.EQ(C32,C:C,0)</f>
        <v>20</v>
      </c>
      <c r="F32" s="6">
        <f>_xlfn.RANK.EQ(D32,D:D,0)</f>
        <v>84</v>
      </c>
      <c r="G32" s="2">
        <f>E32*0.7+F32*0.3</f>
        <v>39.200000000000003</v>
      </c>
      <c r="H32" s="7">
        <v>31</v>
      </c>
    </row>
    <row r="33" spans="1:8" ht="12.45" customHeight="1" x14ac:dyDescent="0.3">
      <c r="A33" s="2" t="s">
        <v>56</v>
      </c>
      <c r="B33" s="2">
        <v>53.5</v>
      </c>
      <c r="C33" s="2">
        <v>4.62</v>
      </c>
      <c r="D33" s="2">
        <v>247.15</v>
      </c>
      <c r="E33" s="6">
        <f>_xlfn.RANK.EQ(C33,C:C,0)</f>
        <v>18</v>
      </c>
      <c r="F33" s="6">
        <f>_xlfn.RANK.EQ(D33,D:D,0)</f>
        <v>92</v>
      </c>
      <c r="G33" s="2">
        <f>E33*0.7+F33*0.3</f>
        <v>40.199999999999996</v>
      </c>
      <c r="H33" s="7">
        <v>32</v>
      </c>
    </row>
    <row r="34" spans="1:8" ht="12.45" customHeight="1" x14ac:dyDescent="0.3">
      <c r="A34" s="2" t="s">
        <v>57</v>
      </c>
      <c r="B34" s="2">
        <v>56.5</v>
      </c>
      <c r="C34" s="2">
        <v>4.54</v>
      </c>
      <c r="D34" s="2">
        <v>256.39999999999998</v>
      </c>
      <c r="E34" s="6">
        <f>_xlfn.RANK.EQ(C34,C:C,0)</f>
        <v>41</v>
      </c>
      <c r="F34" s="6">
        <f>_xlfn.RANK.EQ(D34,D:D,0)</f>
        <v>43</v>
      </c>
      <c r="G34" s="2">
        <f>E34*0.7+F34*0.3</f>
        <v>41.6</v>
      </c>
      <c r="H34" s="7">
        <v>33</v>
      </c>
    </row>
    <row r="35" spans="1:8" ht="12.45" customHeight="1" x14ac:dyDescent="0.3">
      <c r="A35" s="2" t="s">
        <v>58</v>
      </c>
      <c r="B35" s="2">
        <v>58</v>
      </c>
      <c r="C35" s="2">
        <v>4.5199999999999996</v>
      </c>
      <c r="D35" s="2">
        <v>262.05</v>
      </c>
      <c r="E35" s="6">
        <f>_xlfn.RANK.EQ(C35,C:C,0)</f>
        <v>47</v>
      </c>
      <c r="F35" s="6">
        <f>_xlfn.RANK.EQ(D35,D:D,0)</f>
        <v>34</v>
      </c>
      <c r="G35" s="2">
        <f>E35*0.7+F35*0.3</f>
        <v>43.099999999999994</v>
      </c>
      <c r="H35" s="7">
        <v>34</v>
      </c>
    </row>
    <row r="36" spans="1:8" ht="12.45" customHeight="1" x14ac:dyDescent="0.3">
      <c r="A36" s="2" t="s">
        <v>59</v>
      </c>
      <c r="B36" s="2">
        <v>57</v>
      </c>
      <c r="C36" s="2">
        <v>4.5199999999999996</v>
      </c>
      <c r="D36" s="2">
        <v>257.60000000000002</v>
      </c>
      <c r="E36" s="6">
        <f>_xlfn.RANK.EQ(C36,C:C,0)</f>
        <v>47</v>
      </c>
      <c r="F36" s="6">
        <f>_xlfn.RANK.EQ(D36,D:D,0)</f>
        <v>40</v>
      </c>
      <c r="G36" s="2">
        <f>E36*0.7+F36*0.3</f>
        <v>44.9</v>
      </c>
      <c r="H36" s="7">
        <v>35</v>
      </c>
    </row>
    <row r="37" spans="1:8" ht="12.45" customHeight="1" x14ac:dyDescent="0.3">
      <c r="A37" s="2" t="s">
        <v>61</v>
      </c>
      <c r="B37" s="2">
        <v>58.5</v>
      </c>
      <c r="C37" s="2">
        <v>4.51</v>
      </c>
      <c r="D37" s="2">
        <v>263.95</v>
      </c>
      <c r="E37" s="6">
        <f>_xlfn.RANK.EQ(C37,C:C,0)</f>
        <v>52</v>
      </c>
      <c r="F37" s="6">
        <f>_xlfn.RANK.EQ(D37,D:D,0)</f>
        <v>31</v>
      </c>
      <c r="G37" s="2">
        <f>E37*0.7+F37*0.3</f>
        <v>45.699999999999996</v>
      </c>
      <c r="H37" s="7">
        <v>36</v>
      </c>
    </row>
    <row r="38" spans="1:8" ht="12.45" customHeight="1" x14ac:dyDescent="0.3">
      <c r="A38" s="2" t="s">
        <v>62</v>
      </c>
      <c r="B38" s="2">
        <v>59</v>
      </c>
      <c r="C38" s="2">
        <v>4.5</v>
      </c>
      <c r="D38" s="2">
        <v>265.45</v>
      </c>
      <c r="E38" s="6">
        <f>_xlfn.RANK.EQ(C38,C:C,0)</f>
        <v>55</v>
      </c>
      <c r="F38" s="6">
        <f>_xlfn.RANK.EQ(D38,D:D,0)</f>
        <v>24</v>
      </c>
      <c r="G38" s="2">
        <f>E38*0.7+F38*0.3</f>
        <v>45.7</v>
      </c>
      <c r="H38" s="7">
        <v>36</v>
      </c>
    </row>
    <row r="39" spans="1:8" ht="12.45" customHeight="1" x14ac:dyDescent="0.3">
      <c r="A39" s="2" t="s">
        <v>63</v>
      </c>
      <c r="B39" s="2">
        <v>55</v>
      </c>
      <c r="C39" s="2">
        <v>4.55</v>
      </c>
      <c r="D39" s="2">
        <v>250.45</v>
      </c>
      <c r="E39" s="6">
        <f>_xlfn.RANK.EQ(C39,C:C,0)</f>
        <v>36</v>
      </c>
      <c r="F39" s="6">
        <f>_xlfn.RANK.EQ(D39,D:D,0)</f>
        <v>73</v>
      </c>
      <c r="G39" s="2">
        <f>E39*0.7+F39*0.3</f>
        <v>47.099999999999994</v>
      </c>
      <c r="H39" s="7">
        <v>38</v>
      </c>
    </row>
    <row r="40" spans="1:8" ht="12.45" customHeight="1" x14ac:dyDescent="0.3">
      <c r="A40" s="2" t="s">
        <v>65</v>
      </c>
      <c r="B40" s="2">
        <v>59.5</v>
      </c>
      <c r="C40" s="2">
        <v>4.49</v>
      </c>
      <c r="D40" s="2">
        <v>267.25</v>
      </c>
      <c r="E40" s="6">
        <f>_xlfn.RANK.EQ(C40,C:C,0)</f>
        <v>60</v>
      </c>
      <c r="F40" s="6">
        <f>_xlfn.RANK.EQ(D40,D:D,0)</f>
        <v>18</v>
      </c>
      <c r="G40" s="2">
        <f>E40*0.7+F40*0.3</f>
        <v>47.4</v>
      </c>
      <c r="H40" s="7">
        <v>39</v>
      </c>
    </row>
    <row r="41" spans="1:8" ht="12.45" customHeight="1" x14ac:dyDescent="0.3">
      <c r="A41" s="2" t="s">
        <v>66</v>
      </c>
      <c r="B41" s="2">
        <v>55</v>
      </c>
      <c r="C41" s="2">
        <v>4.55</v>
      </c>
      <c r="D41" s="2">
        <v>250.2</v>
      </c>
      <c r="E41" s="6">
        <f>_xlfn.RANK.EQ(C41,C:C,0)</f>
        <v>36</v>
      </c>
      <c r="F41" s="6">
        <f>_xlfn.RANK.EQ(D41,D:D,0)</f>
        <v>75</v>
      </c>
      <c r="G41" s="2">
        <f>E41*0.7+F41*0.3</f>
        <v>47.7</v>
      </c>
      <c r="H41" s="7">
        <v>40</v>
      </c>
    </row>
    <row r="42" spans="1:8" ht="12.45" customHeight="1" x14ac:dyDescent="0.3">
      <c r="A42" s="2" t="s">
        <v>64</v>
      </c>
      <c r="B42" s="2">
        <v>56.5</v>
      </c>
      <c r="C42" s="2">
        <v>4.5199999999999996</v>
      </c>
      <c r="D42" s="2">
        <v>255.1</v>
      </c>
      <c r="E42" s="6">
        <f>_xlfn.RANK.EQ(C42,C:C,0)</f>
        <v>47</v>
      </c>
      <c r="F42" s="6">
        <f>_xlfn.RANK.EQ(D42,D:D,0)</f>
        <v>51</v>
      </c>
      <c r="G42" s="2">
        <f>E42*0.7+F42*0.3</f>
        <v>48.199999999999996</v>
      </c>
      <c r="H42" s="7">
        <v>41</v>
      </c>
    </row>
    <row r="43" spans="1:8" ht="12.45" customHeight="1" x14ac:dyDescent="0.3">
      <c r="A43" s="2" t="s">
        <v>67</v>
      </c>
      <c r="B43" s="2">
        <v>57</v>
      </c>
      <c r="C43" s="2">
        <v>4.51</v>
      </c>
      <c r="D43" s="2">
        <v>256.89999999999998</v>
      </c>
      <c r="E43" s="6">
        <f>_xlfn.RANK.EQ(C43,C:C,0)</f>
        <v>52</v>
      </c>
      <c r="F43" s="6">
        <f>_xlfn.RANK.EQ(D43,D:D,0)</f>
        <v>41</v>
      </c>
      <c r="G43" s="2">
        <f>E43*0.7+F43*0.3</f>
        <v>48.699999999999996</v>
      </c>
      <c r="H43" s="7">
        <v>42</v>
      </c>
    </row>
    <row r="44" spans="1:8" ht="12.45" customHeight="1" x14ac:dyDescent="0.3">
      <c r="A44" s="2" t="s">
        <v>68</v>
      </c>
      <c r="B44" s="2">
        <v>59</v>
      </c>
      <c r="C44" s="2">
        <v>4.49</v>
      </c>
      <c r="D44" s="2">
        <v>264.85000000000002</v>
      </c>
      <c r="E44" s="6">
        <f>_xlfn.RANK.EQ(C44,C:C,0)</f>
        <v>60</v>
      </c>
      <c r="F44" s="6">
        <f>_xlfn.RANK.EQ(D44,D:D,0)</f>
        <v>26</v>
      </c>
      <c r="G44" s="2">
        <f>E44*0.7+F44*0.3</f>
        <v>49.8</v>
      </c>
      <c r="H44" s="7">
        <v>43</v>
      </c>
    </row>
    <row r="45" spans="1:8" ht="12.45" customHeight="1" x14ac:dyDescent="0.3">
      <c r="A45" s="2" t="s">
        <v>69</v>
      </c>
      <c r="B45" s="2">
        <v>55.5</v>
      </c>
      <c r="C45" s="2">
        <v>4.53</v>
      </c>
      <c r="D45" s="2">
        <v>251.2</v>
      </c>
      <c r="E45" s="6">
        <f>_xlfn.RANK.EQ(C45,C:C,0)</f>
        <v>43</v>
      </c>
      <c r="F45" s="6">
        <f>_xlfn.RANK.EQ(D45,D:D,0)</f>
        <v>67</v>
      </c>
      <c r="G45" s="2">
        <f>E45*0.7+F45*0.3</f>
        <v>50.199999999999996</v>
      </c>
      <c r="H45" s="7">
        <v>44</v>
      </c>
    </row>
    <row r="46" spans="1:8" ht="12.45" customHeight="1" x14ac:dyDescent="0.3">
      <c r="A46" s="2" t="s">
        <v>70</v>
      </c>
      <c r="B46" s="2">
        <v>60</v>
      </c>
      <c r="C46" s="2">
        <v>4.4800000000000004</v>
      </c>
      <c r="D46" s="2">
        <v>268.5</v>
      </c>
      <c r="E46" s="6">
        <f>_xlfn.RANK.EQ(C46,C:C,0)</f>
        <v>66</v>
      </c>
      <c r="F46" s="6">
        <f>_xlfn.RANK.EQ(D46,D:D,0)</f>
        <v>15</v>
      </c>
      <c r="G46" s="2">
        <f>E46*0.7+F46*0.3</f>
        <v>50.699999999999996</v>
      </c>
      <c r="H46" s="7">
        <v>45</v>
      </c>
    </row>
    <row r="47" spans="1:8" ht="12.45" customHeight="1" x14ac:dyDescent="0.3">
      <c r="A47" s="2" t="s">
        <v>71</v>
      </c>
      <c r="B47" s="2">
        <v>57</v>
      </c>
      <c r="C47" s="2">
        <v>4.5</v>
      </c>
      <c r="D47" s="2">
        <v>256.3</v>
      </c>
      <c r="E47" s="6">
        <f>_xlfn.RANK.EQ(C47,C:C,0)</f>
        <v>55</v>
      </c>
      <c r="F47" s="6">
        <f>_xlfn.RANK.EQ(D47,D:D,0)</f>
        <v>45</v>
      </c>
      <c r="G47" s="2">
        <f>E47*0.7+F47*0.3</f>
        <v>52</v>
      </c>
      <c r="H47" s="7">
        <v>46</v>
      </c>
    </row>
    <row r="48" spans="1:8" ht="12.45" customHeight="1" x14ac:dyDescent="0.3">
      <c r="A48" s="2" t="s">
        <v>72</v>
      </c>
      <c r="B48" s="2">
        <v>55</v>
      </c>
      <c r="C48" s="2">
        <v>4.54</v>
      </c>
      <c r="D48" s="2">
        <v>249.65</v>
      </c>
      <c r="E48" s="6">
        <f>_xlfn.RANK.EQ(C48,C:C,0)</f>
        <v>41</v>
      </c>
      <c r="F48" s="6">
        <f>_xlfn.RANK.EQ(D48,D:D,0)</f>
        <v>79</v>
      </c>
      <c r="G48" s="2">
        <f>E48*0.7+F48*0.3</f>
        <v>52.4</v>
      </c>
      <c r="H48" s="7">
        <v>47</v>
      </c>
    </row>
    <row r="49" spans="1:8" ht="12.45" customHeight="1" x14ac:dyDescent="0.3">
      <c r="A49" s="2" t="s">
        <v>73</v>
      </c>
      <c r="B49" s="2">
        <v>54.5</v>
      </c>
      <c r="C49" s="2">
        <v>4.55</v>
      </c>
      <c r="D49" s="2">
        <v>247.8</v>
      </c>
      <c r="E49" s="6">
        <f>_xlfn.RANK.EQ(C49,C:C,0)</f>
        <v>36</v>
      </c>
      <c r="F49" s="6">
        <f>_xlfn.RANK.EQ(D49,D:D,0)</f>
        <v>91</v>
      </c>
      <c r="G49" s="2">
        <f>E49*0.7+F49*0.3</f>
        <v>52.5</v>
      </c>
      <c r="H49" s="7">
        <v>48</v>
      </c>
    </row>
    <row r="50" spans="1:8" ht="12.45" customHeight="1" x14ac:dyDescent="0.3">
      <c r="A50" s="2" t="s">
        <v>74</v>
      </c>
      <c r="B50" s="2">
        <v>53.5</v>
      </c>
      <c r="C50" s="2">
        <v>4.57</v>
      </c>
      <c r="D50" s="2">
        <v>244.75</v>
      </c>
      <c r="E50" s="6">
        <f>_xlfn.RANK.EQ(C50,C:C,0)</f>
        <v>30</v>
      </c>
      <c r="F50" s="6">
        <f>_xlfn.RANK.EQ(D50,D:D,0)</f>
        <v>105</v>
      </c>
      <c r="G50" s="2">
        <f>E50*0.7+F50*0.3</f>
        <v>52.5</v>
      </c>
      <c r="H50" s="7">
        <v>48</v>
      </c>
    </row>
    <row r="51" spans="1:8" ht="12.45" customHeight="1" x14ac:dyDescent="0.3">
      <c r="A51" s="2" t="s">
        <v>75</v>
      </c>
      <c r="B51" s="2">
        <v>52.5</v>
      </c>
      <c r="C51" s="2">
        <v>4.5999999999999996</v>
      </c>
      <c r="D51" s="2">
        <v>241.25</v>
      </c>
      <c r="E51" s="6">
        <f>_xlfn.RANK.EQ(C51,C:C,0)</f>
        <v>22</v>
      </c>
      <c r="F51" s="6">
        <f>_xlfn.RANK.EQ(D51,D:D,0)</f>
        <v>126</v>
      </c>
      <c r="G51" s="2">
        <f>E51*0.7+F51*0.3</f>
        <v>53.199999999999996</v>
      </c>
      <c r="H51" s="7">
        <v>50</v>
      </c>
    </row>
    <row r="52" spans="1:8" ht="12.45" customHeight="1" x14ac:dyDescent="0.3">
      <c r="A52" s="2" t="s">
        <v>76</v>
      </c>
      <c r="B52" s="2">
        <v>59</v>
      </c>
      <c r="C52" s="2">
        <v>4.4800000000000004</v>
      </c>
      <c r="D52" s="2">
        <v>264.35000000000002</v>
      </c>
      <c r="E52" s="6">
        <f>_xlfn.RANK.EQ(C52,C:C,0)</f>
        <v>66</v>
      </c>
      <c r="F52" s="6">
        <f>_xlfn.RANK.EQ(D52,D:D,0)</f>
        <v>29</v>
      </c>
      <c r="G52" s="2">
        <f>E52*0.7+F52*0.3</f>
        <v>54.899999999999991</v>
      </c>
      <c r="H52" s="7">
        <v>51</v>
      </c>
    </row>
    <row r="53" spans="1:8" ht="12.45" customHeight="1" x14ac:dyDescent="0.3">
      <c r="A53" s="2" t="s">
        <v>78</v>
      </c>
      <c r="B53" s="2">
        <v>57.5</v>
      </c>
      <c r="C53" s="2">
        <v>4.4800000000000004</v>
      </c>
      <c r="D53" s="2">
        <v>257.85000000000002</v>
      </c>
      <c r="E53" s="6">
        <f>_xlfn.RANK.EQ(C53,C:C,0)</f>
        <v>66</v>
      </c>
      <c r="F53" s="6">
        <f>_xlfn.RANK.EQ(D53,D:D,0)</f>
        <v>39</v>
      </c>
      <c r="G53" s="2">
        <f>E53*0.7+F53*0.3</f>
        <v>57.899999999999991</v>
      </c>
      <c r="H53" s="7">
        <v>52</v>
      </c>
    </row>
    <row r="54" spans="1:8" ht="12.45" customHeight="1" x14ac:dyDescent="0.3">
      <c r="A54" s="2" t="s">
        <v>77</v>
      </c>
      <c r="B54" s="2">
        <v>55.5</v>
      </c>
      <c r="C54" s="2">
        <v>4.51</v>
      </c>
      <c r="D54" s="2">
        <v>250.35</v>
      </c>
      <c r="E54" s="6">
        <f>_xlfn.RANK.EQ(C54,C:C,0)</f>
        <v>52</v>
      </c>
      <c r="F54" s="6">
        <f>_xlfn.RANK.EQ(D54,D:D,0)</f>
        <v>74</v>
      </c>
      <c r="G54" s="2">
        <f>E54*0.7+F54*0.3</f>
        <v>58.599999999999994</v>
      </c>
      <c r="H54" s="7">
        <v>53</v>
      </c>
    </row>
    <row r="55" spans="1:8" ht="12.45" customHeight="1" x14ac:dyDescent="0.3">
      <c r="A55" s="2" t="s">
        <v>94</v>
      </c>
      <c r="B55" s="2">
        <v>58</v>
      </c>
      <c r="C55" s="2">
        <v>4.47</v>
      </c>
      <c r="D55" s="2">
        <v>259.5</v>
      </c>
      <c r="E55" s="6">
        <f>_xlfn.RANK.EQ(C55,C:C,0)</f>
        <v>70</v>
      </c>
      <c r="F55" s="6">
        <f>_xlfn.RANK.EQ(D55,D:D,0)</f>
        <v>35</v>
      </c>
      <c r="G55" s="2">
        <f>E55*0.7+F55*0.3</f>
        <v>59.5</v>
      </c>
      <c r="H55" s="7">
        <v>54</v>
      </c>
    </row>
    <row r="56" spans="1:8" ht="12.45" customHeight="1" x14ac:dyDescent="0.3">
      <c r="A56" s="2" t="s">
        <v>79</v>
      </c>
      <c r="B56" s="2">
        <v>54.5</v>
      </c>
      <c r="C56" s="2">
        <v>4.5199999999999996</v>
      </c>
      <c r="D56" s="2">
        <v>246.35</v>
      </c>
      <c r="E56" s="6">
        <f>_xlfn.RANK.EQ(C56,C:C,0)</f>
        <v>47</v>
      </c>
      <c r="F56" s="6">
        <f>_xlfn.RANK.EQ(D56,D:D,0)</f>
        <v>97</v>
      </c>
      <c r="G56" s="2">
        <f>E56*0.7+F56*0.3</f>
        <v>62</v>
      </c>
      <c r="H56" s="7">
        <v>55</v>
      </c>
    </row>
    <row r="57" spans="1:8" ht="12.45" customHeight="1" x14ac:dyDescent="0.3">
      <c r="A57" s="2" t="s">
        <v>80</v>
      </c>
      <c r="B57" s="2">
        <v>51.5</v>
      </c>
      <c r="C57" s="2">
        <v>4.5999999999999996</v>
      </c>
      <c r="D57" s="2">
        <v>237.1</v>
      </c>
      <c r="E57" s="6">
        <f>_xlfn.RANK.EQ(C57,C:C,0)</f>
        <v>22</v>
      </c>
      <c r="F57" s="6">
        <f>_xlfn.RANK.EQ(D57,D:D,0)</f>
        <v>157</v>
      </c>
      <c r="G57" s="2">
        <f>E57*0.7+F57*0.3</f>
        <v>62.5</v>
      </c>
      <c r="H57" s="7">
        <v>56</v>
      </c>
    </row>
    <row r="58" spans="1:8" ht="12.45" customHeight="1" x14ac:dyDescent="0.3">
      <c r="A58" s="2" t="s">
        <v>82</v>
      </c>
      <c r="B58" s="2">
        <v>57</v>
      </c>
      <c r="C58" s="2">
        <v>4.47</v>
      </c>
      <c r="D58" s="2">
        <v>254.95</v>
      </c>
      <c r="E58" s="6">
        <f>_xlfn.RANK.EQ(C58,C:C,0)</f>
        <v>70</v>
      </c>
      <c r="F58" s="6">
        <f>_xlfn.RANK.EQ(D58,D:D,0)</f>
        <v>53</v>
      </c>
      <c r="G58" s="2">
        <f>E58*0.7+F58*0.3</f>
        <v>64.900000000000006</v>
      </c>
      <c r="H58" s="7">
        <v>57</v>
      </c>
    </row>
    <row r="59" spans="1:8" ht="12.45" customHeight="1" x14ac:dyDescent="0.3">
      <c r="A59" s="2" t="s">
        <v>83</v>
      </c>
      <c r="B59" s="2">
        <v>57</v>
      </c>
      <c r="C59" s="2">
        <v>4.47</v>
      </c>
      <c r="D59" s="2">
        <v>254.8</v>
      </c>
      <c r="E59" s="6">
        <f>_xlfn.RANK.EQ(C59,C:C,0)</f>
        <v>70</v>
      </c>
      <c r="F59" s="6">
        <f>_xlfn.RANK.EQ(D59,D:D,0)</f>
        <v>54</v>
      </c>
      <c r="G59" s="2">
        <f>E59*0.7+F59*0.3</f>
        <v>65.2</v>
      </c>
      <c r="H59" s="7">
        <v>58</v>
      </c>
    </row>
    <row r="60" spans="1:8" ht="12.45" customHeight="1" x14ac:dyDescent="0.3">
      <c r="A60" s="2" t="s">
        <v>85</v>
      </c>
      <c r="B60" s="2">
        <v>59.5</v>
      </c>
      <c r="C60" s="2">
        <v>4.45</v>
      </c>
      <c r="D60" s="2">
        <v>264.75</v>
      </c>
      <c r="E60" s="6">
        <f>_xlfn.RANK.EQ(C60,C:C,0)</f>
        <v>82</v>
      </c>
      <c r="F60" s="6">
        <f>_xlfn.RANK.EQ(D60,D:D,0)</f>
        <v>27</v>
      </c>
      <c r="G60" s="2">
        <f>E60*0.7+F60*0.3</f>
        <v>65.5</v>
      </c>
      <c r="H60" s="7">
        <v>59</v>
      </c>
    </row>
    <row r="61" spans="1:8" ht="12.45" customHeight="1" x14ac:dyDescent="0.3">
      <c r="A61" s="2" t="s">
        <v>81</v>
      </c>
      <c r="B61" s="2">
        <v>57.5</v>
      </c>
      <c r="C61" s="2">
        <v>4.46</v>
      </c>
      <c r="D61" s="2">
        <v>256.64999999999998</v>
      </c>
      <c r="E61" s="6">
        <f>_xlfn.RANK.EQ(C61,C:C,0)</f>
        <v>76</v>
      </c>
      <c r="F61" s="6">
        <f>_xlfn.RANK.EQ(D61,D:D,0)</f>
        <v>42</v>
      </c>
      <c r="G61" s="2">
        <f>E61*0.7+F61*0.3</f>
        <v>65.8</v>
      </c>
      <c r="H61" s="7">
        <v>60</v>
      </c>
    </row>
    <row r="62" spans="1:8" ht="12.45" customHeight="1" x14ac:dyDescent="0.3">
      <c r="A62" s="2" t="s">
        <v>84</v>
      </c>
      <c r="B62" s="2">
        <v>57.5</v>
      </c>
      <c r="C62" s="2">
        <v>4.46</v>
      </c>
      <c r="D62" s="2">
        <v>256.35000000000002</v>
      </c>
      <c r="E62" s="6">
        <f>_xlfn.RANK.EQ(C62,C:C,0)</f>
        <v>76</v>
      </c>
      <c r="F62" s="6">
        <f>_xlfn.RANK.EQ(D62,D:D,0)</f>
        <v>44</v>
      </c>
      <c r="G62" s="2">
        <f>E62*0.7+F62*0.3</f>
        <v>66.399999999999991</v>
      </c>
      <c r="H62" s="7">
        <v>61</v>
      </c>
    </row>
    <row r="63" spans="1:8" ht="12.45" customHeight="1" x14ac:dyDescent="0.3">
      <c r="A63" s="2" t="s">
        <v>87</v>
      </c>
      <c r="B63" s="2">
        <v>55.5</v>
      </c>
      <c r="C63" s="2">
        <v>4.49</v>
      </c>
      <c r="D63" s="2">
        <v>249.25</v>
      </c>
      <c r="E63" s="6">
        <f>_xlfn.RANK.EQ(C63,C:C,0)</f>
        <v>60</v>
      </c>
      <c r="F63" s="6">
        <f>_xlfn.RANK.EQ(D63,D:D,0)</f>
        <v>82</v>
      </c>
      <c r="G63" s="2">
        <f>E63*0.7+F63*0.3</f>
        <v>66.599999999999994</v>
      </c>
      <c r="H63" s="7">
        <v>62</v>
      </c>
    </row>
    <row r="64" spans="1:8" ht="12.45" customHeight="1" x14ac:dyDescent="0.3">
      <c r="A64" s="2" t="s">
        <v>86</v>
      </c>
      <c r="B64" s="2">
        <v>54</v>
      </c>
      <c r="C64" s="2">
        <v>4.5199999999999996</v>
      </c>
      <c r="D64" s="2">
        <v>243.85</v>
      </c>
      <c r="E64" s="6">
        <f>_xlfn.RANK.EQ(C64,C:C,0)</f>
        <v>47</v>
      </c>
      <c r="F64" s="6">
        <f>_xlfn.RANK.EQ(D64,D:D,0)</f>
        <v>113</v>
      </c>
      <c r="G64" s="2">
        <f>E64*0.7+F64*0.3</f>
        <v>66.8</v>
      </c>
      <c r="H64" s="7">
        <v>63</v>
      </c>
    </row>
    <row r="65" spans="1:8" ht="12.45" customHeight="1" x14ac:dyDescent="0.3">
      <c r="A65" s="2" t="s">
        <v>88</v>
      </c>
      <c r="B65" s="2">
        <v>58</v>
      </c>
      <c r="C65" s="2">
        <v>4.45</v>
      </c>
      <c r="D65" s="2">
        <v>258.2</v>
      </c>
      <c r="E65" s="6">
        <f>_xlfn.RANK.EQ(C65,C:C,0)</f>
        <v>82</v>
      </c>
      <c r="F65" s="6">
        <f>_xlfn.RANK.EQ(D65,D:D,0)</f>
        <v>37</v>
      </c>
      <c r="G65" s="2">
        <f>E65*0.7+F65*0.3</f>
        <v>68.5</v>
      </c>
      <c r="H65" s="7">
        <v>64</v>
      </c>
    </row>
    <row r="66" spans="1:8" ht="12.45" customHeight="1" x14ac:dyDescent="0.3">
      <c r="A66" s="2" t="s">
        <v>90</v>
      </c>
      <c r="B66" s="2">
        <v>55</v>
      </c>
      <c r="C66" s="2">
        <v>4.49</v>
      </c>
      <c r="D66" s="2">
        <v>247.15</v>
      </c>
      <c r="E66" s="6">
        <f>_xlfn.RANK.EQ(C66,C:C,0)</f>
        <v>60</v>
      </c>
      <c r="F66" s="6">
        <f>_xlfn.RANK.EQ(D66,D:D,0)</f>
        <v>92</v>
      </c>
      <c r="G66" s="2">
        <f>E66*0.7+F66*0.3</f>
        <v>69.599999999999994</v>
      </c>
      <c r="H66" s="7">
        <v>65</v>
      </c>
    </row>
    <row r="67" spans="1:8" ht="12.45" customHeight="1" x14ac:dyDescent="0.3">
      <c r="A67" s="2" t="s">
        <v>89</v>
      </c>
      <c r="B67" s="2">
        <v>57</v>
      </c>
      <c r="C67" s="2">
        <v>4.46</v>
      </c>
      <c r="D67" s="2">
        <v>254.5</v>
      </c>
      <c r="E67" s="6">
        <f>_xlfn.RANK.EQ(C67,C:C,0)</f>
        <v>76</v>
      </c>
      <c r="F67" s="6">
        <f>_xlfn.RANK.EQ(D67,D:D,0)</f>
        <v>56</v>
      </c>
      <c r="G67" s="2">
        <f>E67*0.7+F67*0.3</f>
        <v>70</v>
      </c>
      <c r="H67" s="7">
        <v>66</v>
      </c>
    </row>
    <row r="68" spans="1:8" ht="12.45" customHeight="1" x14ac:dyDescent="0.3">
      <c r="A68" s="2" t="s">
        <v>91</v>
      </c>
      <c r="B68" s="2">
        <v>54</v>
      </c>
      <c r="C68" s="2">
        <v>4.5</v>
      </c>
      <c r="D68" s="2">
        <v>242.85</v>
      </c>
      <c r="E68" s="6">
        <f>_xlfn.RANK.EQ(C68,C:C,0)</f>
        <v>55</v>
      </c>
      <c r="F68" s="6">
        <f>_xlfn.RANK.EQ(D68,D:D,0)</f>
        <v>115</v>
      </c>
      <c r="G68" s="2">
        <f>E68*0.7+F68*0.3</f>
        <v>73</v>
      </c>
      <c r="H68" s="7">
        <v>67</v>
      </c>
    </row>
    <row r="69" spans="1:8" ht="12.45" customHeight="1" x14ac:dyDescent="0.3">
      <c r="A69" s="2" t="s">
        <v>92</v>
      </c>
      <c r="B69" s="2">
        <v>52.5</v>
      </c>
      <c r="C69" s="2">
        <v>4.53</v>
      </c>
      <c r="D69" s="2">
        <v>237.7</v>
      </c>
      <c r="E69" s="6">
        <f>_xlfn.RANK.EQ(C69,C:C,0)</f>
        <v>43</v>
      </c>
      <c r="F69" s="6">
        <f>_xlfn.RANK.EQ(D69,D:D,0)</f>
        <v>150</v>
      </c>
      <c r="G69" s="2">
        <f>E69*0.7+F69*0.3</f>
        <v>75.099999999999994</v>
      </c>
      <c r="H69" s="7">
        <v>68</v>
      </c>
    </row>
    <row r="70" spans="1:8" ht="12.45" customHeight="1" x14ac:dyDescent="0.3">
      <c r="A70" s="2" t="s">
        <v>93</v>
      </c>
      <c r="B70" s="2">
        <v>56</v>
      </c>
      <c r="C70" s="2">
        <v>4.46</v>
      </c>
      <c r="D70" s="2">
        <v>249.65</v>
      </c>
      <c r="E70" s="6">
        <f>_xlfn.RANK.EQ(C70,C:C,0)</f>
        <v>76</v>
      </c>
      <c r="F70" s="6">
        <f>_xlfn.RANK.EQ(D70,D:D,0)</f>
        <v>79</v>
      </c>
      <c r="G70" s="2">
        <f>E70*0.7+F70*0.3</f>
        <v>76.899999999999991</v>
      </c>
      <c r="H70" s="7">
        <v>69</v>
      </c>
    </row>
    <row r="71" spans="1:8" ht="12.45" customHeight="1" x14ac:dyDescent="0.3">
      <c r="A71" s="2" t="s">
        <v>95</v>
      </c>
      <c r="B71" s="2">
        <v>54</v>
      </c>
      <c r="C71" s="2">
        <v>4.49</v>
      </c>
      <c r="D71" s="2">
        <v>242.65</v>
      </c>
      <c r="E71" s="6">
        <f>_xlfn.RANK.EQ(C71,C:C,0)</f>
        <v>60</v>
      </c>
      <c r="F71" s="6">
        <f>_xlfn.RANK.EQ(D71,D:D,0)</f>
        <v>118</v>
      </c>
      <c r="G71" s="2">
        <f>E71*0.7+F71*0.3</f>
        <v>77.400000000000006</v>
      </c>
      <c r="H71" s="7">
        <v>70</v>
      </c>
    </row>
    <row r="72" spans="1:8" ht="12.45" customHeight="1" x14ac:dyDescent="0.3">
      <c r="A72" s="2" t="s">
        <v>96</v>
      </c>
      <c r="B72" s="2">
        <v>62</v>
      </c>
      <c r="C72" s="2">
        <v>4.4000000000000004</v>
      </c>
      <c r="D72" s="2">
        <v>272.55</v>
      </c>
      <c r="E72" s="6">
        <f>_xlfn.RANK.EQ(C72,C:C,0)</f>
        <v>106</v>
      </c>
      <c r="F72" s="6">
        <f>_xlfn.RANK.EQ(D72,D:D,0)</f>
        <v>11</v>
      </c>
      <c r="G72" s="2">
        <f>E72*0.7+F72*0.3</f>
        <v>77.499999999999986</v>
      </c>
      <c r="H72" s="7">
        <v>71</v>
      </c>
    </row>
    <row r="73" spans="1:8" ht="12.45" customHeight="1" x14ac:dyDescent="0.3">
      <c r="A73" s="2" t="s">
        <v>97</v>
      </c>
      <c r="B73" s="2">
        <v>50.5</v>
      </c>
      <c r="C73" s="2">
        <v>4.58</v>
      </c>
      <c r="D73" s="2">
        <v>231.25</v>
      </c>
      <c r="E73" s="6">
        <f>_xlfn.RANK.EQ(C73,C:C,0)</f>
        <v>26</v>
      </c>
      <c r="F73" s="6">
        <f>_xlfn.RANK.EQ(D73,D:D,0)</f>
        <v>200</v>
      </c>
      <c r="G73" s="2">
        <f>E73*0.7+F73*0.3</f>
        <v>78.2</v>
      </c>
      <c r="H73" s="7">
        <v>72</v>
      </c>
    </row>
    <row r="74" spans="1:8" ht="12.45" customHeight="1" x14ac:dyDescent="0.3">
      <c r="A74" s="2" t="s">
        <v>99</v>
      </c>
      <c r="B74" s="2">
        <v>55</v>
      </c>
      <c r="C74" s="2">
        <v>4.47</v>
      </c>
      <c r="D74" s="2">
        <v>246.1</v>
      </c>
      <c r="E74" s="6">
        <f>_xlfn.RANK.EQ(C74,C:C,0)</f>
        <v>70</v>
      </c>
      <c r="F74" s="6">
        <f>_xlfn.RANK.EQ(D74,D:D,0)</f>
        <v>99</v>
      </c>
      <c r="G74" s="2">
        <f>E74*0.7+F74*0.3</f>
        <v>78.7</v>
      </c>
      <c r="H74" s="7">
        <v>73</v>
      </c>
    </row>
    <row r="75" spans="1:8" ht="12.45" customHeight="1" x14ac:dyDescent="0.3">
      <c r="A75" s="2" t="s">
        <v>100</v>
      </c>
      <c r="B75" s="2">
        <v>54.5</v>
      </c>
      <c r="C75" s="2">
        <v>4.4800000000000004</v>
      </c>
      <c r="D75" s="2">
        <v>244.4</v>
      </c>
      <c r="E75" s="6">
        <f>_xlfn.RANK.EQ(C75,C:C,0)</f>
        <v>66</v>
      </c>
      <c r="F75" s="6">
        <f>_xlfn.RANK.EQ(D75,D:D,0)</f>
        <v>109</v>
      </c>
      <c r="G75" s="2">
        <f>E75*0.7+F75*0.3</f>
        <v>78.899999999999991</v>
      </c>
      <c r="H75" s="7">
        <v>74</v>
      </c>
    </row>
    <row r="76" spans="1:8" ht="12.45" customHeight="1" x14ac:dyDescent="0.3">
      <c r="A76" s="2" t="s">
        <v>101</v>
      </c>
      <c r="B76" s="2">
        <v>55</v>
      </c>
      <c r="C76" s="2">
        <v>4.47</v>
      </c>
      <c r="D76" s="2">
        <v>246.05</v>
      </c>
      <c r="E76" s="6">
        <f>_xlfn.RANK.EQ(C76,C:C,0)</f>
        <v>70</v>
      </c>
      <c r="F76" s="6">
        <f>_xlfn.RANK.EQ(D76,D:D,0)</f>
        <v>100</v>
      </c>
      <c r="G76" s="2">
        <f>E76*0.7+F76*0.3</f>
        <v>79</v>
      </c>
      <c r="H76" s="7">
        <v>75</v>
      </c>
    </row>
    <row r="77" spans="1:8" ht="12.45" customHeight="1" x14ac:dyDescent="0.3">
      <c r="A77" s="2" t="s">
        <v>103</v>
      </c>
      <c r="B77" s="2">
        <v>55</v>
      </c>
      <c r="C77" s="2">
        <v>4.47</v>
      </c>
      <c r="D77" s="2">
        <v>245.65</v>
      </c>
      <c r="E77" s="6">
        <f>_xlfn.RANK.EQ(C77,C:C,0)</f>
        <v>70</v>
      </c>
      <c r="F77" s="6">
        <f>_xlfn.RANK.EQ(D77,D:D,0)</f>
        <v>102</v>
      </c>
      <c r="G77" s="2">
        <f>E77*0.7+F77*0.3</f>
        <v>79.599999999999994</v>
      </c>
      <c r="H77" s="7">
        <v>76</v>
      </c>
    </row>
    <row r="78" spans="1:8" ht="12.45" customHeight="1" x14ac:dyDescent="0.3">
      <c r="A78" s="2" t="s">
        <v>98</v>
      </c>
      <c r="B78" s="2">
        <v>58.5</v>
      </c>
      <c r="C78" s="2">
        <v>4.41</v>
      </c>
      <c r="D78" s="2">
        <v>258.2</v>
      </c>
      <c r="E78" s="6">
        <f>_xlfn.RANK.EQ(C78,C:C,0)</f>
        <v>98</v>
      </c>
      <c r="F78" s="6">
        <f>_xlfn.RANK.EQ(D78,D:D,0)</f>
        <v>37</v>
      </c>
      <c r="G78" s="2">
        <f>E78*0.7+F78*0.3</f>
        <v>79.699999999999989</v>
      </c>
      <c r="H78" s="7">
        <v>77</v>
      </c>
    </row>
    <row r="79" spans="1:8" ht="12.45" customHeight="1" x14ac:dyDescent="0.3">
      <c r="A79" s="2" t="s">
        <v>102</v>
      </c>
      <c r="B79" s="2">
        <v>52</v>
      </c>
      <c r="C79" s="2">
        <v>4.53</v>
      </c>
      <c r="D79" s="2">
        <v>235.75</v>
      </c>
      <c r="E79" s="6">
        <f>_xlfn.RANK.EQ(C79,C:C,0)</f>
        <v>43</v>
      </c>
      <c r="F79" s="6">
        <f>_xlfn.RANK.EQ(D79,D:D,0)</f>
        <v>166</v>
      </c>
      <c r="G79" s="2">
        <f>E79*0.7+F79*0.3</f>
        <v>79.899999999999991</v>
      </c>
      <c r="H79" s="7">
        <v>78</v>
      </c>
    </row>
    <row r="80" spans="1:8" ht="12.45" customHeight="1" x14ac:dyDescent="0.3">
      <c r="A80" s="2" t="s">
        <v>104</v>
      </c>
      <c r="B80" s="2">
        <v>53</v>
      </c>
      <c r="C80" s="2">
        <v>4.5</v>
      </c>
      <c r="D80" s="2">
        <v>238.75</v>
      </c>
      <c r="E80" s="6">
        <f>_xlfn.RANK.EQ(C80,C:C,0)</f>
        <v>55</v>
      </c>
      <c r="F80" s="6">
        <f>_xlfn.RANK.EQ(D80,D:D,0)</f>
        <v>138</v>
      </c>
      <c r="G80" s="2">
        <f>E80*0.7+F80*0.3</f>
        <v>79.900000000000006</v>
      </c>
      <c r="H80" s="7">
        <v>78</v>
      </c>
    </row>
    <row r="81" spans="1:8" ht="12.45" customHeight="1" x14ac:dyDescent="0.3">
      <c r="A81" s="2" t="s">
        <v>105</v>
      </c>
      <c r="B81" s="2">
        <v>56.5</v>
      </c>
      <c r="C81" s="2">
        <v>4.4400000000000004</v>
      </c>
      <c r="D81" s="2">
        <v>250.65</v>
      </c>
      <c r="E81" s="6">
        <f>_xlfn.RANK.EQ(C81,C:C,0)</f>
        <v>85</v>
      </c>
      <c r="F81" s="6">
        <f>_xlfn.RANK.EQ(D81,D:D,0)</f>
        <v>69</v>
      </c>
      <c r="G81" s="2">
        <f>E81*0.7+F81*0.3</f>
        <v>80.199999999999989</v>
      </c>
      <c r="H81" s="7">
        <v>80</v>
      </c>
    </row>
    <row r="82" spans="1:8" ht="12.45" customHeight="1" x14ac:dyDescent="0.3">
      <c r="A82" s="2" t="s">
        <v>106</v>
      </c>
      <c r="B82" s="2">
        <v>57.5</v>
      </c>
      <c r="C82" s="2">
        <v>4.43</v>
      </c>
      <c r="D82" s="2">
        <v>254.55</v>
      </c>
      <c r="E82" s="6">
        <f>_xlfn.RANK.EQ(C82,C:C,0)</f>
        <v>91</v>
      </c>
      <c r="F82" s="6">
        <f>_xlfn.RANK.EQ(D82,D:D,0)</f>
        <v>55</v>
      </c>
      <c r="G82" s="2">
        <f>E82*0.7+F82*0.3</f>
        <v>80.199999999999989</v>
      </c>
      <c r="H82" s="7">
        <v>80</v>
      </c>
    </row>
    <row r="83" spans="1:8" ht="12.45" customHeight="1" x14ac:dyDescent="0.3">
      <c r="A83" s="2" t="s">
        <v>107</v>
      </c>
      <c r="B83" s="2">
        <v>53</v>
      </c>
      <c r="C83" s="2">
        <v>4.5</v>
      </c>
      <c r="D83" s="2">
        <v>238.55</v>
      </c>
      <c r="E83" s="6">
        <f>_xlfn.RANK.EQ(C83,C:C,0)</f>
        <v>55</v>
      </c>
      <c r="F83" s="6">
        <f>_xlfn.RANK.EQ(D83,D:D,0)</f>
        <v>140</v>
      </c>
      <c r="G83" s="2">
        <f>E83*0.7+F83*0.3</f>
        <v>80.5</v>
      </c>
      <c r="H83" s="7">
        <v>82</v>
      </c>
    </row>
    <row r="84" spans="1:8" ht="12.45" customHeight="1" x14ac:dyDescent="0.3">
      <c r="A84" s="2" t="s">
        <v>108</v>
      </c>
      <c r="B84" s="2">
        <v>57</v>
      </c>
      <c r="C84" s="2">
        <v>4.43</v>
      </c>
      <c r="D84" s="2">
        <v>252.45</v>
      </c>
      <c r="E84" s="6">
        <f>_xlfn.RANK.EQ(C84,C:C,0)</f>
        <v>91</v>
      </c>
      <c r="F84" s="6">
        <f>_xlfn.RANK.EQ(D84,D:D,0)</f>
        <v>63</v>
      </c>
      <c r="G84" s="2">
        <f>E84*0.7+F84*0.3</f>
        <v>82.6</v>
      </c>
      <c r="H84" s="7">
        <v>83</v>
      </c>
    </row>
    <row r="85" spans="1:8" ht="12.45" customHeight="1" x14ac:dyDescent="0.3">
      <c r="A85" s="2" t="s">
        <v>109</v>
      </c>
      <c r="B85" s="2">
        <v>57.5</v>
      </c>
      <c r="C85" s="2">
        <v>4.42</v>
      </c>
      <c r="D85" s="2">
        <v>253.9</v>
      </c>
      <c r="E85" s="6">
        <f>_xlfn.RANK.EQ(C85,C:C,0)</f>
        <v>95</v>
      </c>
      <c r="F85" s="6">
        <f>_xlfn.RANK.EQ(D85,D:D,0)</f>
        <v>57</v>
      </c>
      <c r="G85" s="2">
        <f>E85*0.7+F85*0.3</f>
        <v>83.6</v>
      </c>
      <c r="H85" s="7">
        <v>84</v>
      </c>
    </row>
    <row r="86" spans="1:8" ht="12.45" customHeight="1" x14ac:dyDescent="0.3">
      <c r="A86" s="2" t="s">
        <v>110</v>
      </c>
      <c r="B86" s="2">
        <v>48.5</v>
      </c>
      <c r="C86" s="2">
        <v>4.6500000000000004</v>
      </c>
      <c r="D86" s="2">
        <v>225.3</v>
      </c>
      <c r="E86" s="6">
        <f>_xlfn.RANK.EQ(C86,C:C,0)</f>
        <v>11</v>
      </c>
      <c r="F86" s="6">
        <f>_xlfn.RANK.EQ(D86,D:D,0)</f>
        <v>255</v>
      </c>
      <c r="G86" s="2">
        <f>E86*0.7+F86*0.3</f>
        <v>84.2</v>
      </c>
      <c r="H86" s="7">
        <v>85</v>
      </c>
    </row>
    <row r="87" spans="1:8" ht="12.45" customHeight="1" x14ac:dyDescent="0.3">
      <c r="A87" s="2" t="s">
        <v>111</v>
      </c>
      <c r="B87" s="2">
        <v>60.5</v>
      </c>
      <c r="C87" s="2">
        <v>4.3899999999999997</v>
      </c>
      <c r="D87" s="2">
        <v>265.45</v>
      </c>
      <c r="E87" s="6">
        <f>_xlfn.RANK.EQ(C87,C:C,0)</f>
        <v>111</v>
      </c>
      <c r="F87" s="6">
        <f>_xlfn.RANK.EQ(D87,D:D,0)</f>
        <v>24</v>
      </c>
      <c r="G87" s="2">
        <f>E87*0.7+F87*0.3</f>
        <v>84.899999999999991</v>
      </c>
      <c r="H87" s="7">
        <v>86</v>
      </c>
    </row>
    <row r="88" spans="1:8" ht="12.45" customHeight="1" x14ac:dyDescent="0.3">
      <c r="A88" s="2" t="s">
        <v>112</v>
      </c>
      <c r="B88" s="2">
        <v>56</v>
      </c>
      <c r="C88" s="2">
        <v>4.4400000000000004</v>
      </c>
      <c r="D88" s="2">
        <v>248.5</v>
      </c>
      <c r="E88" s="6">
        <f>_xlfn.RANK.EQ(C88,C:C,0)</f>
        <v>85</v>
      </c>
      <c r="F88" s="6">
        <f>_xlfn.RANK.EQ(D88,D:D,0)</f>
        <v>88</v>
      </c>
      <c r="G88" s="2">
        <f>E88*0.7+F88*0.3</f>
        <v>85.899999999999991</v>
      </c>
      <c r="H88" s="7">
        <v>87</v>
      </c>
    </row>
    <row r="89" spans="1:8" ht="12.45" customHeight="1" x14ac:dyDescent="0.3">
      <c r="A89" s="2" t="s">
        <v>113</v>
      </c>
      <c r="B89" s="2">
        <v>53</v>
      </c>
      <c r="C89" s="2">
        <v>4.49</v>
      </c>
      <c r="D89" s="2">
        <v>238.1</v>
      </c>
      <c r="E89" s="6">
        <f>_xlfn.RANK.EQ(C89,C:C,0)</f>
        <v>60</v>
      </c>
      <c r="F89" s="6">
        <f>_xlfn.RANK.EQ(D89,D:D,0)</f>
        <v>148</v>
      </c>
      <c r="G89" s="2">
        <f>E89*0.7+F89*0.3</f>
        <v>86.4</v>
      </c>
      <c r="H89" s="7">
        <v>88</v>
      </c>
    </row>
    <row r="90" spans="1:8" ht="12.45" customHeight="1" x14ac:dyDescent="0.3">
      <c r="A90" s="2" t="s">
        <v>114</v>
      </c>
      <c r="B90" s="2">
        <v>57</v>
      </c>
      <c r="C90" s="2">
        <v>4.41</v>
      </c>
      <c r="D90" s="2">
        <v>251.5</v>
      </c>
      <c r="E90" s="6">
        <f>_xlfn.RANK.EQ(C90,C:C,0)</f>
        <v>98</v>
      </c>
      <c r="F90" s="6">
        <f>_xlfn.RANK.EQ(D90,D:D,0)</f>
        <v>65</v>
      </c>
      <c r="G90" s="2">
        <f>E90*0.7+F90*0.3</f>
        <v>88.1</v>
      </c>
      <c r="H90" s="7">
        <v>89</v>
      </c>
    </row>
    <row r="91" spans="1:8" ht="12.45" customHeight="1" x14ac:dyDescent="0.3">
      <c r="A91" s="2" t="s">
        <v>115</v>
      </c>
      <c r="B91" s="2">
        <v>55</v>
      </c>
      <c r="C91" s="2">
        <v>4.4400000000000004</v>
      </c>
      <c r="D91" s="2">
        <v>244.45</v>
      </c>
      <c r="E91" s="6">
        <f>_xlfn.RANK.EQ(C91,C:C,0)</f>
        <v>85</v>
      </c>
      <c r="F91" s="6">
        <f>_xlfn.RANK.EQ(D91,D:D,0)</f>
        <v>108</v>
      </c>
      <c r="G91" s="2">
        <f>E91*0.7+F91*0.3</f>
        <v>91.899999999999991</v>
      </c>
      <c r="H91" s="7">
        <v>90</v>
      </c>
    </row>
    <row r="92" spans="1:8" ht="12.45" customHeight="1" x14ac:dyDescent="0.3">
      <c r="A92" s="2" t="s">
        <v>116</v>
      </c>
      <c r="B92" s="2">
        <v>58.5</v>
      </c>
      <c r="C92" s="2">
        <v>4.38</v>
      </c>
      <c r="D92" s="2">
        <v>256.2</v>
      </c>
      <c r="E92" s="6">
        <f>_xlfn.RANK.EQ(C92,C:C,0)</f>
        <v>115</v>
      </c>
      <c r="F92" s="6">
        <f>_xlfn.RANK.EQ(D92,D:D,0)</f>
        <v>47</v>
      </c>
      <c r="G92" s="2">
        <f>E92*0.7+F92*0.3</f>
        <v>94.6</v>
      </c>
      <c r="H92" s="7">
        <v>91</v>
      </c>
    </row>
    <row r="93" spans="1:8" ht="12.45" customHeight="1" x14ac:dyDescent="0.3">
      <c r="A93" s="2" t="s">
        <v>117</v>
      </c>
      <c r="B93" s="2">
        <v>54.5</v>
      </c>
      <c r="C93" s="2">
        <v>4.4400000000000004</v>
      </c>
      <c r="D93" s="2">
        <v>241.75</v>
      </c>
      <c r="E93" s="6">
        <f>_xlfn.RANK.EQ(C93,C:C,0)</f>
        <v>85</v>
      </c>
      <c r="F93" s="6">
        <f>_xlfn.RANK.EQ(D93,D:D,0)</f>
        <v>122</v>
      </c>
      <c r="G93" s="2">
        <f>E93*0.7+F93*0.3</f>
        <v>96.1</v>
      </c>
      <c r="H93" s="7">
        <v>92</v>
      </c>
    </row>
    <row r="94" spans="1:8" ht="12.45" customHeight="1" x14ac:dyDescent="0.3">
      <c r="A94" s="2" t="s">
        <v>118</v>
      </c>
      <c r="B94" s="2">
        <v>57.5</v>
      </c>
      <c r="C94" s="2">
        <v>4.3899999999999997</v>
      </c>
      <c r="D94" s="2">
        <v>252.45</v>
      </c>
      <c r="E94" s="6">
        <f>_xlfn.RANK.EQ(C94,C:C,0)</f>
        <v>111</v>
      </c>
      <c r="F94" s="6">
        <f>_xlfn.RANK.EQ(D94,D:D,0)</f>
        <v>63</v>
      </c>
      <c r="G94" s="2">
        <f>E94*0.7+F94*0.3</f>
        <v>96.6</v>
      </c>
      <c r="H94" s="7">
        <v>93</v>
      </c>
    </row>
    <row r="95" spans="1:8" ht="12.45" customHeight="1" x14ac:dyDescent="0.3">
      <c r="A95" s="2" t="s">
        <v>119</v>
      </c>
      <c r="B95" s="2">
        <v>55</v>
      </c>
      <c r="C95" s="2">
        <v>4.43</v>
      </c>
      <c r="D95" s="2">
        <v>243.65</v>
      </c>
      <c r="E95" s="6">
        <f>_xlfn.RANK.EQ(C95,C:C,0)</f>
        <v>91</v>
      </c>
      <c r="F95" s="6">
        <f>_xlfn.RANK.EQ(D95,D:D,0)</f>
        <v>114</v>
      </c>
      <c r="G95" s="2">
        <f>E95*0.7+F95*0.3</f>
        <v>97.899999999999991</v>
      </c>
      <c r="H95" s="7">
        <v>94</v>
      </c>
    </row>
    <row r="96" spans="1:8" ht="12.45" customHeight="1" x14ac:dyDescent="0.3">
      <c r="A96" s="2" t="s">
        <v>120</v>
      </c>
      <c r="B96" s="2">
        <v>54</v>
      </c>
      <c r="C96" s="2">
        <v>4.4400000000000004</v>
      </c>
      <c r="D96" s="2">
        <v>239.65</v>
      </c>
      <c r="E96" s="6">
        <f>_xlfn.RANK.EQ(C96,C:C,0)</f>
        <v>85</v>
      </c>
      <c r="F96" s="6">
        <f>_xlfn.RANK.EQ(D96,D:D,0)</f>
        <v>134</v>
      </c>
      <c r="G96" s="2">
        <f>E96*0.7+F96*0.3</f>
        <v>99.699999999999989</v>
      </c>
      <c r="H96" s="7">
        <v>95</v>
      </c>
    </row>
    <row r="97" spans="1:8" ht="12.45" customHeight="1" x14ac:dyDescent="0.3">
      <c r="A97" s="2" t="s">
        <v>121</v>
      </c>
      <c r="B97" s="2">
        <v>55.5</v>
      </c>
      <c r="C97" s="2">
        <v>4.41</v>
      </c>
      <c r="D97" s="2">
        <v>244.6</v>
      </c>
      <c r="E97" s="6">
        <f>_xlfn.RANK.EQ(C97,C:C,0)</f>
        <v>98</v>
      </c>
      <c r="F97" s="6">
        <f>_xlfn.RANK.EQ(D97,D:D,0)</f>
        <v>107</v>
      </c>
      <c r="G97" s="2">
        <f>E97*0.7+F97*0.3</f>
        <v>100.69999999999999</v>
      </c>
      <c r="H97" s="7">
        <v>96</v>
      </c>
    </row>
    <row r="98" spans="1:8" ht="12.45" customHeight="1" x14ac:dyDescent="0.3">
      <c r="A98" s="2" t="s">
        <v>122</v>
      </c>
      <c r="B98" s="2">
        <v>58</v>
      </c>
      <c r="C98" s="2">
        <v>4.37</v>
      </c>
      <c r="D98" s="2">
        <v>253.45</v>
      </c>
      <c r="E98" s="6">
        <f>_xlfn.RANK.EQ(C98,C:C,0)</f>
        <v>120</v>
      </c>
      <c r="F98" s="6">
        <f>_xlfn.RANK.EQ(D98,D:D,0)</f>
        <v>60</v>
      </c>
      <c r="G98" s="2">
        <f>E98*0.7+F98*0.3</f>
        <v>102</v>
      </c>
      <c r="H98" s="7">
        <v>97</v>
      </c>
    </row>
    <row r="99" spans="1:8" ht="12.45" customHeight="1" x14ac:dyDescent="0.3">
      <c r="A99" s="2" t="s">
        <v>123</v>
      </c>
      <c r="B99" s="2">
        <v>57</v>
      </c>
      <c r="C99" s="2">
        <v>4.38</v>
      </c>
      <c r="D99" s="2">
        <v>249.9</v>
      </c>
      <c r="E99" s="6">
        <f>_xlfn.RANK.EQ(C99,C:C,0)</f>
        <v>115</v>
      </c>
      <c r="F99" s="6">
        <f>_xlfn.RANK.EQ(D99,D:D,0)</f>
        <v>76</v>
      </c>
      <c r="G99" s="2">
        <f>E99*0.7+F99*0.3</f>
        <v>103.3</v>
      </c>
      <c r="H99" s="7">
        <v>98</v>
      </c>
    </row>
    <row r="100" spans="1:8" ht="12.45" customHeight="1" x14ac:dyDescent="0.3">
      <c r="A100" s="2" t="s">
        <v>124</v>
      </c>
      <c r="B100" s="2">
        <v>57.5</v>
      </c>
      <c r="C100" s="2">
        <v>4.37</v>
      </c>
      <c r="D100" s="2">
        <v>251.4</v>
      </c>
      <c r="E100" s="6">
        <f>_xlfn.RANK.EQ(C100,C:C,0)</f>
        <v>120</v>
      </c>
      <c r="F100" s="6">
        <f>_xlfn.RANK.EQ(D100,D:D,0)</f>
        <v>66</v>
      </c>
      <c r="G100" s="2">
        <f>E100*0.7+F100*0.3</f>
        <v>103.8</v>
      </c>
      <c r="H100" s="7">
        <v>99</v>
      </c>
    </row>
    <row r="101" spans="1:8" ht="12.45" customHeight="1" x14ac:dyDescent="0.3">
      <c r="A101" s="2" t="s">
        <v>126</v>
      </c>
      <c r="B101" s="2">
        <v>59.5</v>
      </c>
      <c r="C101" s="2">
        <v>4.34</v>
      </c>
      <c r="D101" s="2">
        <v>258.5</v>
      </c>
      <c r="E101" s="6">
        <f>_xlfn.RANK.EQ(C101,C:C,0)</f>
        <v>136</v>
      </c>
      <c r="F101" s="6">
        <f>_xlfn.RANK.EQ(D101,D:D,0)</f>
        <v>36</v>
      </c>
      <c r="G101" s="2">
        <f>E101*0.7+F101*0.3</f>
        <v>105.99999999999999</v>
      </c>
      <c r="H101" s="7">
        <v>100</v>
      </c>
    </row>
    <row r="102" spans="1:8" ht="12.45" customHeight="1" x14ac:dyDescent="0.3">
      <c r="A102" s="2" t="s">
        <v>125</v>
      </c>
      <c r="B102" s="2">
        <v>52.5</v>
      </c>
      <c r="C102" s="2">
        <v>4.46</v>
      </c>
      <c r="D102" s="2">
        <v>233.95</v>
      </c>
      <c r="E102" s="6">
        <f>_xlfn.RANK.EQ(C102,C:C,0)</f>
        <v>76</v>
      </c>
      <c r="F102" s="6">
        <f>_xlfn.RANK.EQ(D102,D:D,0)</f>
        <v>178</v>
      </c>
      <c r="G102" s="2">
        <f>E102*0.7+F102*0.3</f>
        <v>106.6</v>
      </c>
      <c r="H102" s="7">
        <v>101</v>
      </c>
    </row>
    <row r="103" spans="1:8" ht="12.45" customHeight="1" x14ac:dyDescent="0.3">
      <c r="A103" s="2" t="s">
        <v>128</v>
      </c>
      <c r="B103" s="2">
        <v>55.5</v>
      </c>
      <c r="C103" s="2">
        <v>4.4000000000000004</v>
      </c>
      <c r="D103" s="2">
        <v>244.05</v>
      </c>
      <c r="E103" s="6">
        <f>_xlfn.RANK.EQ(C103,C:C,0)</f>
        <v>106</v>
      </c>
      <c r="F103" s="6">
        <f>_xlfn.RANK.EQ(D103,D:D,0)</f>
        <v>111</v>
      </c>
      <c r="G103" s="2">
        <f>E103*0.7+F103*0.3</f>
        <v>107.49999999999999</v>
      </c>
      <c r="H103" s="7">
        <v>102</v>
      </c>
    </row>
    <row r="104" spans="1:8" ht="12.45" customHeight="1" x14ac:dyDescent="0.3">
      <c r="A104" s="2" t="s">
        <v>127</v>
      </c>
      <c r="B104" s="2">
        <v>53</v>
      </c>
      <c r="C104" s="2">
        <v>4.45</v>
      </c>
      <c r="D104" s="2">
        <v>235.6</v>
      </c>
      <c r="E104" s="6">
        <f>_xlfn.RANK.EQ(C104,C:C,0)</f>
        <v>82</v>
      </c>
      <c r="F104" s="6">
        <f>_xlfn.RANK.EQ(D104,D:D,0)</f>
        <v>167</v>
      </c>
      <c r="G104" s="2">
        <f>E104*0.7+F104*0.3</f>
        <v>107.5</v>
      </c>
      <c r="H104" s="7">
        <v>102</v>
      </c>
    </row>
    <row r="105" spans="1:8" ht="12.45" customHeight="1" x14ac:dyDescent="0.3">
      <c r="A105" s="2" t="s">
        <v>129</v>
      </c>
      <c r="B105" s="2">
        <v>54.5</v>
      </c>
      <c r="C105" s="2">
        <v>4.41</v>
      </c>
      <c r="D105" s="2">
        <v>240.3</v>
      </c>
      <c r="E105" s="6">
        <f>_xlfn.RANK.EQ(C105,C:C,0)</f>
        <v>98</v>
      </c>
      <c r="F105" s="6">
        <f>_xlfn.RANK.EQ(D105,D:D,0)</f>
        <v>130</v>
      </c>
      <c r="G105" s="2">
        <f>E105*0.7+F105*0.3</f>
        <v>107.6</v>
      </c>
      <c r="H105" s="7">
        <v>104</v>
      </c>
    </row>
    <row r="106" spans="1:8" ht="12.45" customHeight="1" x14ac:dyDescent="0.3">
      <c r="A106" s="2" t="s">
        <v>130</v>
      </c>
      <c r="B106" s="2">
        <v>57</v>
      </c>
      <c r="C106" s="2">
        <v>4.37</v>
      </c>
      <c r="D106" s="2">
        <v>249.35</v>
      </c>
      <c r="E106" s="6">
        <f>_xlfn.RANK.EQ(C106,C:C,0)</f>
        <v>120</v>
      </c>
      <c r="F106" s="6">
        <f>_xlfn.RANK.EQ(D106,D:D,0)</f>
        <v>81</v>
      </c>
      <c r="G106" s="2">
        <f>E106*0.7+F106*0.3</f>
        <v>108.3</v>
      </c>
      <c r="H106" s="7">
        <v>105</v>
      </c>
    </row>
    <row r="107" spans="1:8" ht="12.45" customHeight="1" x14ac:dyDescent="0.3">
      <c r="A107" s="2" t="s">
        <v>131</v>
      </c>
      <c r="B107" s="2">
        <v>49.5</v>
      </c>
      <c r="C107" s="2">
        <v>4.6100000000000003</v>
      </c>
      <c r="D107" s="2">
        <v>218.8</v>
      </c>
      <c r="E107" s="6">
        <f>_xlfn.RANK.EQ(C107,C:C,0)</f>
        <v>20</v>
      </c>
      <c r="F107" s="6">
        <f>_xlfn.RANK.EQ(D107,D:D,0)</f>
        <v>315</v>
      </c>
      <c r="G107" s="2">
        <f>E107*0.7+F107*0.3</f>
        <v>108.5</v>
      </c>
      <c r="H107" s="7">
        <v>106</v>
      </c>
    </row>
    <row r="108" spans="1:8" ht="12.45" customHeight="1" x14ac:dyDescent="0.3">
      <c r="A108" s="2" t="s">
        <v>132</v>
      </c>
      <c r="B108" s="2">
        <v>57</v>
      </c>
      <c r="C108" s="2">
        <v>4.37</v>
      </c>
      <c r="D108" s="2">
        <v>248.9</v>
      </c>
      <c r="E108" s="6">
        <f>_xlfn.RANK.EQ(C108,C:C,0)</f>
        <v>120</v>
      </c>
      <c r="F108" s="6">
        <f>_xlfn.RANK.EQ(D108,D:D,0)</f>
        <v>83</v>
      </c>
      <c r="G108" s="2">
        <f>E108*0.7+F108*0.3</f>
        <v>108.9</v>
      </c>
      <c r="H108" s="7">
        <v>107</v>
      </c>
    </row>
    <row r="109" spans="1:8" ht="12.45" customHeight="1" x14ac:dyDescent="0.3">
      <c r="A109" s="2" t="s">
        <v>133</v>
      </c>
      <c r="B109" s="2">
        <v>57.5</v>
      </c>
      <c r="C109" s="2">
        <v>4.3600000000000003</v>
      </c>
      <c r="D109" s="2">
        <v>250.5</v>
      </c>
      <c r="E109" s="6">
        <f>_xlfn.RANK.EQ(C109,C:C,0)</f>
        <v>128</v>
      </c>
      <c r="F109" s="6">
        <f>_xlfn.RANK.EQ(D109,D:D,0)</f>
        <v>71</v>
      </c>
      <c r="G109" s="2">
        <f>E109*0.7+F109*0.3</f>
        <v>110.89999999999999</v>
      </c>
      <c r="H109" s="7">
        <v>108</v>
      </c>
    </row>
    <row r="110" spans="1:8" ht="12.45" customHeight="1" x14ac:dyDescent="0.3">
      <c r="A110" s="2" t="s">
        <v>134</v>
      </c>
      <c r="B110" s="2">
        <v>56</v>
      </c>
      <c r="C110" s="2">
        <v>4.38</v>
      </c>
      <c r="D110" s="2">
        <v>245.3</v>
      </c>
      <c r="E110" s="6">
        <f>_xlfn.RANK.EQ(C110,C:C,0)</f>
        <v>115</v>
      </c>
      <c r="F110" s="6">
        <f>_xlfn.RANK.EQ(D110,D:D,0)</f>
        <v>103</v>
      </c>
      <c r="G110" s="2">
        <f>E110*0.7+F110*0.3</f>
        <v>111.4</v>
      </c>
      <c r="H110" s="7">
        <v>109</v>
      </c>
    </row>
    <row r="111" spans="1:8" ht="12.45" customHeight="1" x14ac:dyDescent="0.3">
      <c r="A111" s="2" t="s">
        <v>135</v>
      </c>
      <c r="B111" s="2">
        <v>55</v>
      </c>
      <c r="C111" s="2">
        <v>4.3899999999999997</v>
      </c>
      <c r="D111" s="2">
        <v>241.7</v>
      </c>
      <c r="E111" s="6">
        <f>_xlfn.RANK.EQ(C111,C:C,0)</f>
        <v>111</v>
      </c>
      <c r="F111" s="6">
        <f>_xlfn.RANK.EQ(D111,D:D,0)</f>
        <v>123</v>
      </c>
      <c r="G111" s="2">
        <f>E111*0.7+F111*0.3</f>
        <v>114.6</v>
      </c>
      <c r="H111" s="7">
        <v>110</v>
      </c>
    </row>
    <row r="112" spans="1:8" ht="12.45" customHeight="1" x14ac:dyDescent="0.3">
      <c r="A112" s="2" t="s">
        <v>136</v>
      </c>
      <c r="B112" s="2">
        <v>56</v>
      </c>
      <c r="C112" s="2">
        <v>4.37</v>
      </c>
      <c r="D112" s="2">
        <v>244.65</v>
      </c>
      <c r="E112" s="6">
        <f>_xlfn.RANK.EQ(C112,C:C,0)</f>
        <v>120</v>
      </c>
      <c r="F112" s="6">
        <f>_xlfn.RANK.EQ(D112,D:D,0)</f>
        <v>106</v>
      </c>
      <c r="G112" s="2">
        <f>E112*0.7+F112*0.3</f>
        <v>115.8</v>
      </c>
      <c r="H112" s="7">
        <v>111</v>
      </c>
    </row>
    <row r="113" spans="1:8" ht="12.45" customHeight="1" x14ac:dyDescent="0.3">
      <c r="A113" s="2" t="s">
        <v>137</v>
      </c>
      <c r="B113" s="2">
        <v>53.5</v>
      </c>
      <c r="C113" s="2">
        <v>4.41</v>
      </c>
      <c r="D113" s="2">
        <v>235.9</v>
      </c>
      <c r="E113" s="6">
        <f>_xlfn.RANK.EQ(C113,C:C,0)</f>
        <v>98</v>
      </c>
      <c r="F113" s="6">
        <f>_xlfn.RANK.EQ(D113,D:D,0)</f>
        <v>164</v>
      </c>
      <c r="G113" s="2">
        <f>E113*0.7+F113*0.3</f>
        <v>117.79999999999998</v>
      </c>
      <c r="H113" s="7">
        <v>112</v>
      </c>
    </row>
    <row r="114" spans="1:8" ht="12.45" customHeight="1" x14ac:dyDescent="0.3">
      <c r="A114" s="2" t="s">
        <v>138</v>
      </c>
      <c r="B114" s="2">
        <v>57</v>
      </c>
      <c r="C114" s="2">
        <v>4.3499999999999996</v>
      </c>
      <c r="D114" s="2">
        <v>248.05</v>
      </c>
      <c r="E114" s="6">
        <f>_xlfn.RANK.EQ(C114,C:C,0)</f>
        <v>131</v>
      </c>
      <c r="F114" s="6">
        <f>_xlfn.RANK.EQ(D114,D:D,0)</f>
        <v>89</v>
      </c>
      <c r="G114" s="2">
        <f>E114*0.7+F114*0.3</f>
        <v>118.39999999999999</v>
      </c>
      <c r="H114" s="7">
        <v>113</v>
      </c>
    </row>
    <row r="115" spans="1:8" ht="12.45" customHeight="1" x14ac:dyDescent="0.3">
      <c r="A115" s="2" t="s">
        <v>139</v>
      </c>
      <c r="B115" s="2">
        <v>57.5</v>
      </c>
      <c r="C115" s="2">
        <v>4.34</v>
      </c>
      <c r="D115" s="2">
        <v>249.7</v>
      </c>
      <c r="E115" s="6">
        <f>_xlfn.RANK.EQ(C115,C:C,0)</f>
        <v>136</v>
      </c>
      <c r="F115" s="6">
        <f>_xlfn.RANK.EQ(D115,D:D,0)</f>
        <v>78</v>
      </c>
      <c r="G115" s="2">
        <f>E115*0.7+F115*0.3</f>
        <v>118.6</v>
      </c>
      <c r="H115" s="7">
        <v>114</v>
      </c>
    </row>
    <row r="116" spans="1:8" ht="12.45" customHeight="1" x14ac:dyDescent="0.3">
      <c r="A116" s="2" t="s">
        <v>140</v>
      </c>
      <c r="B116" s="2">
        <v>55.5</v>
      </c>
      <c r="C116" s="2">
        <v>4.37</v>
      </c>
      <c r="D116" s="2">
        <v>242.8</v>
      </c>
      <c r="E116" s="6">
        <f>_xlfn.RANK.EQ(C116,C:C,0)</f>
        <v>120</v>
      </c>
      <c r="F116" s="6">
        <f>_xlfn.RANK.EQ(D116,D:D,0)</f>
        <v>116</v>
      </c>
      <c r="G116" s="2">
        <f>E116*0.7+F116*0.3</f>
        <v>118.8</v>
      </c>
      <c r="H116" s="7">
        <v>115</v>
      </c>
    </row>
    <row r="117" spans="1:8" ht="12.45" customHeight="1" x14ac:dyDescent="0.3">
      <c r="A117" s="2" t="s">
        <v>141</v>
      </c>
      <c r="B117" s="2">
        <v>55.5</v>
      </c>
      <c r="C117" s="2">
        <v>4.37</v>
      </c>
      <c r="D117" s="2">
        <v>242.8</v>
      </c>
      <c r="E117" s="6">
        <f>_xlfn.RANK.EQ(C117,C:C,0)</f>
        <v>120</v>
      </c>
      <c r="F117" s="6">
        <f>_xlfn.RANK.EQ(D117,D:D,0)</f>
        <v>116</v>
      </c>
      <c r="G117" s="2">
        <f>E117*0.7+F117*0.3</f>
        <v>118.8</v>
      </c>
      <c r="H117" s="7">
        <v>115</v>
      </c>
    </row>
    <row r="118" spans="1:8" ht="12.45" customHeight="1" x14ac:dyDescent="0.3">
      <c r="A118" s="2" t="s">
        <v>142</v>
      </c>
      <c r="B118" s="2">
        <v>56.5</v>
      </c>
      <c r="C118" s="2">
        <v>4.3600000000000003</v>
      </c>
      <c r="D118" s="2">
        <v>246.3</v>
      </c>
      <c r="E118" s="6">
        <f>_xlfn.RANK.EQ(C118,C:C,0)</f>
        <v>128</v>
      </c>
      <c r="F118" s="6">
        <f>_xlfn.RANK.EQ(D118,D:D,0)</f>
        <v>98</v>
      </c>
      <c r="G118" s="2">
        <f>E118*0.7+F118*0.3</f>
        <v>119</v>
      </c>
      <c r="H118" s="7">
        <v>117</v>
      </c>
    </row>
    <row r="119" spans="1:8" ht="12.45" customHeight="1" x14ac:dyDescent="0.3">
      <c r="A119" s="2" t="s">
        <v>143</v>
      </c>
      <c r="B119" s="2">
        <v>59.5</v>
      </c>
      <c r="C119" s="2">
        <v>4.3</v>
      </c>
      <c r="D119" s="2">
        <v>255.75</v>
      </c>
      <c r="E119" s="6">
        <f>_xlfn.RANK.EQ(C119,C:C,0)</f>
        <v>150</v>
      </c>
      <c r="F119" s="6">
        <f>_xlfn.RANK.EQ(D119,D:D,0)</f>
        <v>49</v>
      </c>
      <c r="G119" s="2">
        <f>E119*0.7+F119*0.3</f>
        <v>119.7</v>
      </c>
      <c r="H119" s="7">
        <v>118</v>
      </c>
    </row>
    <row r="120" spans="1:8" ht="12.45" customHeight="1" x14ac:dyDescent="0.3">
      <c r="A120" s="2" t="s">
        <v>144</v>
      </c>
      <c r="B120" s="2">
        <v>54</v>
      </c>
      <c r="C120" s="2">
        <v>4.4000000000000004</v>
      </c>
      <c r="D120" s="2">
        <v>237.5</v>
      </c>
      <c r="E120" s="6">
        <f>_xlfn.RANK.EQ(C120,C:C,0)</f>
        <v>106</v>
      </c>
      <c r="F120" s="6">
        <f>_xlfn.RANK.EQ(D120,D:D,0)</f>
        <v>152</v>
      </c>
      <c r="G120" s="2">
        <f>E120*0.7+F120*0.3</f>
        <v>119.79999999999998</v>
      </c>
      <c r="H120" s="7">
        <v>119</v>
      </c>
    </row>
    <row r="121" spans="1:8" ht="12.45" customHeight="1" x14ac:dyDescent="0.3">
      <c r="A121" s="2" t="s">
        <v>145</v>
      </c>
      <c r="B121" s="2">
        <v>59</v>
      </c>
      <c r="C121" s="2">
        <v>4.3</v>
      </c>
      <c r="D121" s="2">
        <v>253.85</v>
      </c>
      <c r="E121" s="6">
        <f>_xlfn.RANK.EQ(C121,C:C,0)</f>
        <v>150</v>
      </c>
      <c r="F121" s="6">
        <f>_xlfn.RANK.EQ(D121,D:D,0)</f>
        <v>58</v>
      </c>
      <c r="G121" s="2">
        <f>E121*0.7+F121*0.3</f>
        <v>122.4</v>
      </c>
      <c r="H121" s="7">
        <v>120</v>
      </c>
    </row>
    <row r="122" spans="1:8" ht="12.45" customHeight="1" x14ac:dyDescent="0.3">
      <c r="A122" s="2" t="s">
        <v>147</v>
      </c>
      <c r="B122" s="2">
        <v>53</v>
      </c>
      <c r="C122" s="2">
        <v>4.41</v>
      </c>
      <c r="D122" s="2">
        <v>233.65</v>
      </c>
      <c r="E122" s="6">
        <f>_xlfn.RANK.EQ(C122,C:C,0)</f>
        <v>98</v>
      </c>
      <c r="F122" s="6">
        <f>_xlfn.RANK.EQ(D122,D:D,0)</f>
        <v>180</v>
      </c>
      <c r="G122" s="2">
        <f>E122*0.7+F122*0.3</f>
        <v>122.6</v>
      </c>
      <c r="H122" s="7">
        <v>121</v>
      </c>
    </row>
    <row r="123" spans="1:8" ht="12.45" customHeight="1" x14ac:dyDescent="0.3">
      <c r="A123" s="2" t="s">
        <v>146</v>
      </c>
      <c r="B123" s="2">
        <v>58</v>
      </c>
      <c r="C123" s="2">
        <v>4.32</v>
      </c>
      <c r="D123" s="2">
        <v>250.5</v>
      </c>
      <c r="E123" s="6">
        <f>_xlfn.RANK.EQ(C123,C:C,0)</f>
        <v>145</v>
      </c>
      <c r="F123" s="6">
        <f>_xlfn.RANK.EQ(D123,D:D,0)</f>
        <v>71</v>
      </c>
      <c r="G123" s="2">
        <f>E123*0.7+F123*0.3</f>
        <v>122.8</v>
      </c>
      <c r="H123" s="7">
        <v>122</v>
      </c>
    </row>
    <row r="124" spans="1:8" ht="12.45" customHeight="1" x14ac:dyDescent="0.3">
      <c r="A124" s="2" t="s">
        <v>148</v>
      </c>
      <c r="B124" s="2">
        <v>51.5</v>
      </c>
      <c r="C124" s="2">
        <v>4.4400000000000004</v>
      </c>
      <c r="D124" s="2">
        <v>228.85</v>
      </c>
      <c r="E124" s="6">
        <f>_xlfn.RANK.EQ(C124,C:C,0)</f>
        <v>85</v>
      </c>
      <c r="F124" s="6">
        <f>_xlfn.RANK.EQ(D124,D:D,0)</f>
        <v>222</v>
      </c>
      <c r="G124" s="2">
        <f>E124*0.7+F124*0.3</f>
        <v>126.1</v>
      </c>
      <c r="H124" s="7">
        <v>123</v>
      </c>
    </row>
    <row r="125" spans="1:8" ht="12.45" customHeight="1" x14ac:dyDescent="0.3">
      <c r="A125" s="2" t="s">
        <v>149</v>
      </c>
      <c r="B125" s="2">
        <v>62</v>
      </c>
      <c r="C125" s="2">
        <v>4.2699999999999996</v>
      </c>
      <c r="D125" s="2">
        <v>264.75</v>
      </c>
      <c r="E125" s="6">
        <f>_xlfn.RANK.EQ(C125,C:C,0)</f>
        <v>169</v>
      </c>
      <c r="F125" s="6">
        <f>_xlfn.RANK.EQ(D125,D:D,0)</f>
        <v>27</v>
      </c>
      <c r="G125" s="2">
        <f>E125*0.7+F125*0.3</f>
        <v>126.39999999999999</v>
      </c>
      <c r="H125" s="7">
        <v>124</v>
      </c>
    </row>
    <row r="126" spans="1:8" ht="12.45" customHeight="1" x14ac:dyDescent="0.3">
      <c r="A126" s="2" t="s">
        <v>150</v>
      </c>
      <c r="B126" s="2">
        <v>57.5</v>
      </c>
      <c r="C126" s="2">
        <v>4.32</v>
      </c>
      <c r="D126" s="2">
        <v>248.6</v>
      </c>
      <c r="E126" s="6">
        <f>_xlfn.RANK.EQ(C126,C:C,0)</f>
        <v>145</v>
      </c>
      <c r="F126" s="6">
        <f>_xlfn.RANK.EQ(D126,D:D,0)</f>
        <v>86</v>
      </c>
      <c r="G126" s="2">
        <f>E126*0.7+F126*0.3</f>
        <v>127.3</v>
      </c>
      <c r="H126" s="7">
        <v>125</v>
      </c>
    </row>
    <row r="127" spans="1:8" ht="12.45" customHeight="1" x14ac:dyDescent="0.3">
      <c r="A127" s="2" t="s">
        <v>151</v>
      </c>
      <c r="B127" s="2">
        <v>52.5</v>
      </c>
      <c r="C127" s="2">
        <v>4.41</v>
      </c>
      <c r="D127" s="2">
        <v>231.45</v>
      </c>
      <c r="E127" s="6">
        <f>_xlfn.RANK.EQ(C127,C:C,0)</f>
        <v>98</v>
      </c>
      <c r="F127" s="6">
        <f>_xlfn.RANK.EQ(D127,D:D,0)</f>
        <v>197</v>
      </c>
      <c r="G127" s="2">
        <f>E127*0.7+F127*0.3</f>
        <v>127.69999999999999</v>
      </c>
      <c r="H127" s="7">
        <v>126</v>
      </c>
    </row>
    <row r="128" spans="1:8" ht="12.45" customHeight="1" x14ac:dyDescent="0.3">
      <c r="A128" s="2" t="s">
        <v>152</v>
      </c>
      <c r="B128" s="2">
        <v>52.5</v>
      </c>
      <c r="C128" s="2">
        <v>4.41</v>
      </c>
      <c r="D128" s="2">
        <v>231.4</v>
      </c>
      <c r="E128" s="6">
        <f>_xlfn.RANK.EQ(C128,C:C,0)</f>
        <v>98</v>
      </c>
      <c r="F128" s="6">
        <f>_xlfn.RANK.EQ(D128,D:D,0)</f>
        <v>198</v>
      </c>
      <c r="G128" s="2">
        <f>E128*0.7+F128*0.3</f>
        <v>128</v>
      </c>
      <c r="H128" s="7">
        <v>127</v>
      </c>
    </row>
    <row r="129" spans="1:8" ht="12.45" customHeight="1" x14ac:dyDescent="0.3">
      <c r="A129" s="2" t="s">
        <v>153</v>
      </c>
      <c r="B129" s="2">
        <v>55.5</v>
      </c>
      <c r="C129" s="2">
        <v>4.3499999999999996</v>
      </c>
      <c r="D129" s="2">
        <v>241.4</v>
      </c>
      <c r="E129" s="6">
        <f>_xlfn.RANK.EQ(C129,C:C,0)</f>
        <v>131</v>
      </c>
      <c r="F129" s="6">
        <f>_xlfn.RANK.EQ(D129,D:D,0)</f>
        <v>124</v>
      </c>
      <c r="G129" s="2">
        <f>E129*0.7+F129*0.3</f>
        <v>128.89999999999998</v>
      </c>
      <c r="H129" s="7">
        <v>128</v>
      </c>
    </row>
    <row r="130" spans="1:8" ht="12.45" customHeight="1" x14ac:dyDescent="0.3">
      <c r="A130" s="2" t="s">
        <v>154</v>
      </c>
      <c r="B130" s="2">
        <v>53.5</v>
      </c>
      <c r="C130" s="2">
        <v>4.3899999999999997</v>
      </c>
      <c r="D130" s="2">
        <v>234.85</v>
      </c>
      <c r="E130" s="6">
        <f>_xlfn.RANK.EQ(C130,C:C,0)</f>
        <v>111</v>
      </c>
      <c r="F130" s="6">
        <f>_xlfn.RANK.EQ(D130,D:D,0)</f>
        <v>172</v>
      </c>
      <c r="G130" s="2">
        <f>E130*0.7+F130*0.3</f>
        <v>129.29999999999998</v>
      </c>
      <c r="H130" s="7">
        <v>129</v>
      </c>
    </row>
    <row r="131" spans="1:8" ht="12.45" customHeight="1" x14ac:dyDescent="0.3">
      <c r="A131" s="2" t="s">
        <v>155</v>
      </c>
      <c r="B131" s="2">
        <v>52</v>
      </c>
      <c r="C131" s="2">
        <v>4.42</v>
      </c>
      <c r="D131" s="2">
        <v>229.8</v>
      </c>
      <c r="E131" s="6">
        <f>_xlfn.RANK.EQ(C131,C:C,0)</f>
        <v>95</v>
      </c>
      <c r="F131" s="6">
        <f>_xlfn.RANK.EQ(D131,D:D,0)</f>
        <v>214</v>
      </c>
      <c r="G131" s="2">
        <f>E131*0.7+F131*0.3</f>
        <v>130.69999999999999</v>
      </c>
      <c r="H131" s="7">
        <v>130</v>
      </c>
    </row>
    <row r="132" spans="1:8" ht="12.45" customHeight="1" x14ac:dyDescent="0.3">
      <c r="A132" s="2" t="s">
        <v>156</v>
      </c>
      <c r="B132" s="2">
        <v>58.5</v>
      </c>
      <c r="C132" s="2">
        <v>4.29</v>
      </c>
      <c r="D132" s="2">
        <v>251</v>
      </c>
      <c r="E132" s="6">
        <f>_xlfn.RANK.EQ(C132,C:C,0)</f>
        <v>158</v>
      </c>
      <c r="F132" s="6">
        <f>_xlfn.RANK.EQ(D132,D:D,0)</f>
        <v>68</v>
      </c>
      <c r="G132" s="2">
        <f>E132*0.7+F132*0.3</f>
        <v>131</v>
      </c>
      <c r="H132" s="7">
        <v>131</v>
      </c>
    </row>
    <row r="133" spans="1:8" ht="12.45" customHeight="1" x14ac:dyDescent="0.3">
      <c r="A133" s="2" t="s">
        <v>157</v>
      </c>
      <c r="B133" s="2">
        <v>50.5</v>
      </c>
      <c r="C133" s="2">
        <v>4.46</v>
      </c>
      <c r="D133" s="2">
        <v>225.05</v>
      </c>
      <c r="E133" s="6">
        <f>_xlfn.RANK.EQ(C133,C:C,0)</f>
        <v>76</v>
      </c>
      <c r="F133" s="6">
        <f>_xlfn.RANK.EQ(D133,D:D,0)</f>
        <v>261</v>
      </c>
      <c r="G133" s="2">
        <f>E133*0.7+F133*0.3</f>
        <v>131.5</v>
      </c>
      <c r="H133" s="7">
        <v>132</v>
      </c>
    </row>
    <row r="134" spans="1:8" ht="12.45" customHeight="1" x14ac:dyDescent="0.3">
      <c r="A134" s="2" t="s">
        <v>158</v>
      </c>
      <c r="B134" s="2">
        <v>55</v>
      </c>
      <c r="C134" s="2">
        <v>4.3499999999999996</v>
      </c>
      <c r="D134" s="2">
        <v>239.1</v>
      </c>
      <c r="E134" s="6">
        <f>_xlfn.RANK.EQ(C134,C:C,0)</f>
        <v>131</v>
      </c>
      <c r="F134" s="6">
        <f>_xlfn.RANK.EQ(D134,D:D,0)</f>
        <v>135</v>
      </c>
      <c r="G134" s="2">
        <f>E134*0.7+F134*0.3</f>
        <v>132.19999999999999</v>
      </c>
      <c r="H134" s="7">
        <v>133</v>
      </c>
    </row>
    <row r="135" spans="1:8" ht="12.45" customHeight="1" x14ac:dyDescent="0.3">
      <c r="A135" s="2" t="s">
        <v>159</v>
      </c>
      <c r="B135" s="2">
        <v>51.5</v>
      </c>
      <c r="C135" s="2">
        <v>4.42</v>
      </c>
      <c r="D135" s="2">
        <v>227.85</v>
      </c>
      <c r="E135" s="6">
        <f>_xlfn.RANK.EQ(C135,C:C,0)</f>
        <v>95</v>
      </c>
      <c r="F135" s="6">
        <f>_xlfn.RANK.EQ(D135,D:D,0)</f>
        <v>230</v>
      </c>
      <c r="G135" s="2">
        <f>E135*0.7+F135*0.3</f>
        <v>135.5</v>
      </c>
      <c r="H135" s="7">
        <v>134</v>
      </c>
    </row>
    <row r="136" spans="1:8" ht="12.45" customHeight="1" x14ac:dyDescent="0.3">
      <c r="A136" s="2" t="s">
        <v>160</v>
      </c>
      <c r="B136" s="2">
        <v>57</v>
      </c>
      <c r="C136" s="2">
        <v>4.3</v>
      </c>
      <c r="D136" s="2">
        <v>245.25</v>
      </c>
      <c r="E136" s="6">
        <f>_xlfn.RANK.EQ(C136,C:C,0)</f>
        <v>150</v>
      </c>
      <c r="F136" s="6">
        <f>_xlfn.RANK.EQ(D136,D:D,0)</f>
        <v>104</v>
      </c>
      <c r="G136" s="2">
        <f>E136*0.7+F136*0.3</f>
        <v>136.19999999999999</v>
      </c>
      <c r="H136" s="7">
        <v>135</v>
      </c>
    </row>
    <row r="137" spans="1:8" ht="12.45" customHeight="1" x14ac:dyDescent="0.3">
      <c r="A137" s="2" t="s">
        <v>161</v>
      </c>
      <c r="B137" s="2">
        <v>53.5</v>
      </c>
      <c r="C137" s="2">
        <v>4.37</v>
      </c>
      <c r="D137" s="2">
        <v>234.05</v>
      </c>
      <c r="E137" s="6">
        <f>_xlfn.RANK.EQ(C137,C:C,0)</f>
        <v>120</v>
      </c>
      <c r="F137" s="6">
        <f>_xlfn.RANK.EQ(D137,D:D,0)</f>
        <v>177</v>
      </c>
      <c r="G137" s="2">
        <f>E137*0.7+F137*0.3</f>
        <v>137.1</v>
      </c>
      <c r="H137" s="7">
        <v>136</v>
      </c>
    </row>
    <row r="138" spans="1:8" ht="12.45" customHeight="1" x14ac:dyDescent="0.3">
      <c r="A138" s="2" t="s">
        <v>162</v>
      </c>
      <c r="B138" s="2">
        <v>55.5</v>
      </c>
      <c r="C138" s="2">
        <v>4.32</v>
      </c>
      <c r="D138" s="2">
        <v>239.85</v>
      </c>
      <c r="E138" s="6">
        <f>_xlfn.RANK.EQ(C138,C:C,0)</f>
        <v>145</v>
      </c>
      <c r="F138" s="6">
        <f>_xlfn.RANK.EQ(D138,D:D,0)</f>
        <v>131</v>
      </c>
      <c r="G138" s="2">
        <f>E138*0.7+F138*0.3</f>
        <v>140.80000000000001</v>
      </c>
      <c r="H138" s="7">
        <v>137</v>
      </c>
    </row>
    <row r="139" spans="1:8" ht="12.45" customHeight="1" x14ac:dyDescent="0.3">
      <c r="A139" s="2" t="s">
        <v>163</v>
      </c>
      <c r="B139" s="2">
        <v>54.5</v>
      </c>
      <c r="C139" s="2">
        <v>4.34</v>
      </c>
      <c r="D139" s="2">
        <v>236.5</v>
      </c>
      <c r="E139" s="6">
        <f>_xlfn.RANK.EQ(C139,C:C,0)</f>
        <v>136</v>
      </c>
      <c r="F139" s="6">
        <f>_xlfn.RANK.EQ(D139,D:D,0)</f>
        <v>158</v>
      </c>
      <c r="G139" s="2">
        <f>E139*0.7+F139*0.3</f>
        <v>142.6</v>
      </c>
      <c r="H139" s="7">
        <v>138</v>
      </c>
    </row>
    <row r="140" spans="1:8" ht="12.45" customHeight="1" x14ac:dyDescent="0.3">
      <c r="A140" s="2" t="s">
        <v>164</v>
      </c>
      <c r="B140" s="2">
        <v>55</v>
      </c>
      <c r="C140" s="2">
        <v>4.33</v>
      </c>
      <c r="D140" s="2">
        <v>238.2</v>
      </c>
      <c r="E140" s="6">
        <f>_xlfn.RANK.EQ(C140,C:C,0)</f>
        <v>142</v>
      </c>
      <c r="F140" s="6">
        <f>_xlfn.RANK.EQ(D140,D:D,0)</f>
        <v>145</v>
      </c>
      <c r="G140" s="2">
        <f>E140*0.7+F140*0.3</f>
        <v>142.89999999999998</v>
      </c>
      <c r="H140" s="7">
        <v>139</v>
      </c>
    </row>
    <row r="141" spans="1:8" ht="12.45" customHeight="1" x14ac:dyDescent="0.3">
      <c r="A141" s="2" t="s">
        <v>165</v>
      </c>
      <c r="B141" s="2">
        <v>56</v>
      </c>
      <c r="C141" s="2">
        <v>4.3</v>
      </c>
      <c r="D141" s="2">
        <v>241</v>
      </c>
      <c r="E141" s="6">
        <f>_xlfn.RANK.EQ(C141,C:C,0)</f>
        <v>150</v>
      </c>
      <c r="F141" s="6">
        <f>_xlfn.RANK.EQ(D141,D:D,0)</f>
        <v>128</v>
      </c>
      <c r="G141" s="2">
        <f>E141*0.7+F141*0.3</f>
        <v>143.4</v>
      </c>
      <c r="H141" s="7">
        <v>140</v>
      </c>
    </row>
    <row r="142" spans="1:8" ht="12.45" customHeight="1" x14ac:dyDescent="0.3">
      <c r="A142" s="2" t="s">
        <v>166</v>
      </c>
      <c r="B142" s="2">
        <v>53.5</v>
      </c>
      <c r="C142" s="2">
        <v>4.3600000000000003</v>
      </c>
      <c r="D142" s="2">
        <v>233.5</v>
      </c>
      <c r="E142" s="6">
        <f>_xlfn.RANK.EQ(C142,C:C,0)</f>
        <v>128</v>
      </c>
      <c r="F142" s="6">
        <f>_xlfn.RANK.EQ(D142,D:D,0)</f>
        <v>182</v>
      </c>
      <c r="G142" s="2">
        <f>E142*0.7+F142*0.3</f>
        <v>144.19999999999999</v>
      </c>
      <c r="H142" s="7">
        <v>141</v>
      </c>
    </row>
    <row r="143" spans="1:8" ht="12.45" customHeight="1" x14ac:dyDescent="0.3">
      <c r="A143" s="2" t="s">
        <v>167</v>
      </c>
      <c r="B143" s="2">
        <v>55.5</v>
      </c>
      <c r="C143" s="2">
        <v>4.3</v>
      </c>
      <c r="D143" s="2">
        <v>238.55</v>
      </c>
      <c r="E143" s="6">
        <f>_xlfn.RANK.EQ(C143,C:C,0)</f>
        <v>150</v>
      </c>
      <c r="F143" s="6">
        <f>_xlfn.RANK.EQ(D143,D:D,0)</f>
        <v>140</v>
      </c>
      <c r="G143" s="2">
        <f>E143*0.7+F143*0.3</f>
        <v>147</v>
      </c>
      <c r="H143" s="7">
        <v>142</v>
      </c>
    </row>
    <row r="144" spans="1:8" ht="12.45" customHeight="1" x14ac:dyDescent="0.3">
      <c r="A144" s="2" t="s">
        <v>168</v>
      </c>
      <c r="B144" s="2">
        <v>54.5</v>
      </c>
      <c r="C144" s="2">
        <v>4.33</v>
      </c>
      <c r="D144" s="2">
        <v>235.95</v>
      </c>
      <c r="E144" s="6">
        <f>_xlfn.RANK.EQ(C144,C:C,0)</f>
        <v>142</v>
      </c>
      <c r="F144" s="6">
        <f>_xlfn.RANK.EQ(D144,D:D,0)</f>
        <v>163</v>
      </c>
      <c r="G144" s="2">
        <f>E144*0.7+F144*0.3</f>
        <v>148.29999999999998</v>
      </c>
      <c r="H144" s="7">
        <v>143</v>
      </c>
    </row>
    <row r="145" spans="1:8" ht="12.45" customHeight="1" x14ac:dyDescent="0.3">
      <c r="A145" s="2" t="s">
        <v>169</v>
      </c>
      <c r="B145" s="2">
        <v>54.5</v>
      </c>
      <c r="C145" s="2">
        <v>4.33</v>
      </c>
      <c r="D145" s="2">
        <v>235.85</v>
      </c>
      <c r="E145" s="6">
        <f>_xlfn.RANK.EQ(C145,C:C,0)</f>
        <v>142</v>
      </c>
      <c r="F145" s="6">
        <f>_xlfn.RANK.EQ(D145,D:D,0)</f>
        <v>165</v>
      </c>
      <c r="G145" s="2">
        <f>E145*0.7+F145*0.3</f>
        <v>148.89999999999998</v>
      </c>
      <c r="H145" s="7">
        <v>144</v>
      </c>
    </row>
    <row r="146" spans="1:8" ht="12.45" customHeight="1" x14ac:dyDescent="0.3">
      <c r="A146" s="2" t="s">
        <v>170</v>
      </c>
      <c r="B146" s="2">
        <v>50</v>
      </c>
      <c r="C146" s="2">
        <v>4.43</v>
      </c>
      <c r="D146" s="2">
        <v>221.45</v>
      </c>
      <c r="E146" s="6">
        <f>_xlfn.RANK.EQ(C146,C:C,0)</f>
        <v>91</v>
      </c>
      <c r="F146" s="6">
        <f>_xlfn.RANK.EQ(D146,D:D,0)</f>
        <v>292</v>
      </c>
      <c r="G146" s="2">
        <f>E146*0.7+F146*0.3</f>
        <v>151.29999999999998</v>
      </c>
      <c r="H146" s="7">
        <v>145</v>
      </c>
    </row>
    <row r="147" spans="1:8" ht="12.45" customHeight="1" x14ac:dyDescent="0.3">
      <c r="A147" s="2" t="s">
        <v>171</v>
      </c>
      <c r="B147" s="2">
        <v>55.5</v>
      </c>
      <c r="C147" s="2">
        <v>4.29</v>
      </c>
      <c r="D147" s="2">
        <v>238.2</v>
      </c>
      <c r="E147" s="6">
        <f>_xlfn.RANK.EQ(C147,C:C,0)</f>
        <v>158</v>
      </c>
      <c r="F147" s="6">
        <f>_xlfn.RANK.EQ(D147,D:D,0)</f>
        <v>145</v>
      </c>
      <c r="G147" s="2">
        <f>E147*0.7+F147*0.3</f>
        <v>154.1</v>
      </c>
      <c r="H147" s="7">
        <v>146</v>
      </c>
    </row>
    <row r="148" spans="1:8" ht="12.45" customHeight="1" x14ac:dyDescent="0.3">
      <c r="A148" s="2" t="s">
        <v>173</v>
      </c>
      <c r="B148" s="2">
        <v>51</v>
      </c>
      <c r="C148" s="2">
        <v>4.4000000000000004</v>
      </c>
      <c r="D148" s="2">
        <v>224.15</v>
      </c>
      <c r="E148" s="6">
        <f>_xlfn.RANK.EQ(C148,C:C,0)</f>
        <v>106</v>
      </c>
      <c r="F148" s="6">
        <f>_xlfn.RANK.EQ(D148,D:D,0)</f>
        <v>268</v>
      </c>
      <c r="G148" s="2">
        <f>E148*0.7+F148*0.3</f>
        <v>154.59999999999997</v>
      </c>
      <c r="H148" s="7">
        <v>147</v>
      </c>
    </row>
    <row r="149" spans="1:8" ht="12.45" customHeight="1" x14ac:dyDescent="0.3">
      <c r="A149" s="2" t="s">
        <v>172</v>
      </c>
      <c r="B149" s="2">
        <v>55.5</v>
      </c>
      <c r="C149" s="2">
        <v>4.29</v>
      </c>
      <c r="D149" s="2">
        <v>238.15</v>
      </c>
      <c r="E149" s="6">
        <f>_xlfn.RANK.EQ(C149,C:C,0)</f>
        <v>158</v>
      </c>
      <c r="F149" s="6">
        <f>_xlfn.RANK.EQ(D149,D:D,0)</f>
        <v>147</v>
      </c>
      <c r="G149" s="2">
        <f>E149*0.7+F149*0.3</f>
        <v>154.69999999999999</v>
      </c>
      <c r="H149" s="7">
        <v>148</v>
      </c>
    </row>
    <row r="150" spans="1:8" ht="12.45" customHeight="1" x14ac:dyDescent="0.3">
      <c r="A150" s="2" t="s">
        <v>174</v>
      </c>
      <c r="B150" s="2">
        <v>54.5</v>
      </c>
      <c r="C150" s="2">
        <v>4.3099999999999996</v>
      </c>
      <c r="D150" s="2">
        <v>234.75</v>
      </c>
      <c r="E150" s="6">
        <f>_xlfn.RANK.EQ(C150,C:C,0)</f>
        <v>148</v>
      </c>
      <c r="F150" s="6">
        <f>_xlfn.RANK.EQ(D150,D:D,0)</f>
        <v>173</v>
      </c>
      <c r="G150" s="2">
        <f>E150*0.7+F150*0.3</f>
        <v>155.5</v>
      </c>
      <c r="H150" s="7">
        <v>149</v>
      </c>
    </row>
    <row r="151" spans="1:8" ht="12.45" customHeight="1" x14ac:dyDescent="0.3">
      <c r="A151" s="2" t="s">
        <v>175</v>
      </c>
      <c r="B151" s="2">
        <v>54.5</v>
      </c>
      <c r="C151" s="2">
        <v>4.3</v>
      </c>
      <c r="D151" s="2">
        <v>234.35</v>
      </c>
      <c r="E151" s="6">
        <f>_xlfn.RANK.EQ(C151,C:C,0)</f>
        <v>150</v>
      </c>
      <c r="F151" s="6">
        <f>_xlfn.RANK.EQ(D151,D:D,0)</f>
        <v>176</v>
      </c>
      <c r="G151" s="2">
        <f>E151*0.7+F151*0.3</f>
        <v>157.80000000000001</v>
      </c>
      <c r="H151" s="7">
        <v>150</v>
      </c>
    </row>
    <row r="152" spans="1:8" ht="12.45" customHeight="1" x14ac:dyDescent="0.3">
      <c r="A152" s="2" t="s">
        <v>176</v>
      </c>
      <c r="B152" s="2">
        <v>56.5</v>
      </c>
      <c r="C152" s="2">
        <v>4.26</v>
      </c>
      <c r="D152" s="2">
        <v>240.85</v>
      </c>
      <c r="E152" s="6">
        <f>_xlfn.RANK.EQ(C152,C:C,0)</f>
        <v>173</v>
      </c>
      <c r="F152" s="6">
        <f>_xlfn.RANK.EQ(D152,D:D,0)</f>
        <v>129</v>
      </c>
      <c r="G152" s="2">
        <f>E152*0.7+F152*0.3</f>
        <v>159.79999999999998</v>
      </c>
      <c r="H152" s="7">
        <v>151</v>
      </c>
    </row>
    <row r="153" spans="1:8" ht="12.45" customHeight="1" x14ac:dyDescent="0.3">
      <c r="A153" s="2" t="s">
        <v>177</v>
      </c>
      <c r="B153" s="2">
        <v>55.5</v>
      </c>
      <c r="C153" s="2">
        <v>4.28</v>
      </c>
      <c r="D153" s="2">
        <v>237.35</v>
      </c>
      <c r="E153" s="6">
        <f>_xlfn.RANK.EQ(C153,C:C,0)</f>
        <v>164</v>
      </c>
      <c r="F153" s="6">
        <f>_xlfn.RANK.EQ(D153,D:D,0)</f>
        <v>153</v>
      </c>
      <c r="G153" s="2">
        <f>E153*0.7+F153*0.3</f>
        <v>160.69999999999999</v>
      </c>
      <c r="H153" s="7">
        <v>152</v>
      </c>
    </row>
    <row r="154" spans="1:8" ht="12.45" customHeight="1" x14ac:dyDescent="0.3">
      <c r="A154" s="2" t="s">
        <v>178</v>
      </c>
      <c r="B154" s="2">
        <v>55.5</v>
      </c>
      <c r="C154" s="2">
        <v>4.28</v>
      </c>
      <c r="D154" s="2">
        <v>237.3</v>
      </c>
      <c r="E154" s="6">
        <f>_xlfn.RANK.EQ(C154,C:C,0)</f>
        <v>164</v>
      </c>
      <c r="F154" s="6">
        <f>_xlfn.RANK.EQ(D154,D:D,0)</f>
        <v>154</v>
      </c>
      <c r="G154" s="2">
        <f>E154*0.7+F154*0.3</f>
        <v>161</v>
      </c>
      <c r="H154" s="7">
        <v>153</v>
      </c>
    </row>
    <row r="155" spans="1:8" ht="12.45" customHeight="1" x14ac:dyDescent="0.3">
      <c r="A155" s="2" t="s">
        <v>179</v>
      </c>
      <c r="B155" s="2">
        <v>56</v>
      </c>
      <c r="C155" s="2">
        <v>4.26</v>
      </c>
      <c r="D155" s="2">
        <v>238.7</v>
      </c>
      <c r="E155" s="6">
        <f>_xlfn.RANK.EQ(C155,C:C,0)</f>
        <v>173</v>
      </c>
      <c r="F155" s="6">
        <f>_xlfn.RANK.EQ(D155,D:D,0)</f>
        <v>139</v>
      </c>
      <c r="G155" s="2">
        <f>E155*0.7+F155*0.3</f>
        <v>162.79999999999998</v>
      </c>
      <c r="H155" s="7">
        <v>154</v>
      </c>
    </row>
    <row r="156" spans="1:8" ht="12.45" customHeight="1" x14ac:dyDescent="0.3">
      <c r="A156" s="2" t="s">
        <v>180</v>
      </c>
      <c r="B156" s="2">
        <v>52.5</v>
      </c>
      <c r="C156" s="2">
        <v>4.34</v>
      </c>
      <c r="D156" s="2">
        <v>227.95</v>
      </c>
      <c r="E156" s="6">
        <f>_xlfn.RANK.EQ(C156,C:C,0)</f>
        <v>136</v>
      </c>
      <c r="F156" s="6">
        <f>_xlfn.RANK.EQ(D156,D:D,0)</f>
        <v>228</v>
      </c>
      <c r="G156" s="2">
        <f>E156*0.7+F156*0.3</f>
        <v>163.59999999999997</v>
      </c>
      <c r="H156" s="7">
        <v>155</v>
      </c>
    </row>
    <row r="157" spans="1:8" ht="12.45" customHeight="1" x14ac:dyDescent="0.3">
      <c r="A157" s="2" t="s">
        <v>181</v>
      </c>
      <c r="B157" s="2">
        <v>51</v>
      </c>
      <c r="C157" s="2">
        <v>4.38</v>
      </c>
      <c r="D157" s="2">
        <v>223.45</v>
      </c>
      <c r="E157" s="6">
        <f>_xlfn.RANK.EQ(C157,C:C,0)</f>
        <v>115</v>
      </c>
      <c r="F157" s="6">
        <f>_xlfn.RANK.EQ(D157,D:D,0)</f>
        <v>278</v>
      </c>
      <c r="G157" s="2">
        <f>E157*0.7+F157*0.3</f>
        <v>163.89999999999998</v>
      </c>
      <c r="H157" s="7">
        <v>156</v>
      </c>
    </row>
    <row r="158" spans="1:8" ht="12.45" customHeight="1" x14ac:dyDescent="0.3">
      <c r="A158" s="2" t="s">
        <v>182</v>
      </c>
      <c r="B158" s="2">
        <v>50</v>
      </c>
      <c r="C158" s="2">
        <v>4.4000000000000004</v>
      </c>
      <c r="D158" s="2">
        <v>219.85</v>
      </c>
      <c r="E158" s="6">
        <f>_xlfn.RANK.EQ(C158,C:C,0)</f>
        <v>106</v>
      </c>
      <c r="F158" s="6">
        <f>_xlfn.RANK.EQ(D158,D:D,0)</f>
        <v>307</v>
      </c>
      <c r="G158" s="2">
        <f>E158*0.7+F158*0.3</f>
        <v>166.29999999999998</v>
      </c>
      <c r="H158" s="7">
        <v>157</v>
      </c>
    </row>
    <row r="159" spans="1:8" ht="12.45" customHeight="1" x14ac:dyDescent="0.3">
      <c r="A159" s="2" t="s">
        <v>183</v>
      </c>
      <c r="B159" s="2">
        <v>53.5</v>
      </c>
      <c r="C159" s="2">
        <v>4.3</v>
      </c>
      <c r="D159" s="2">
        <v>229.95</v>
      </c>
      <c r="E159" s="6">
        <f>_xlfn.RANK.EQ(C159,C:C,0)</f>
        <v>150</v>
      </c>
      <c r="F159" s="6">
        <f>_xlfn.RANK.EQ(D159,D:D,0)</f>
        <v>210</v>
      </c>
      <c r="G159" s="2">
        <f>E159*0.7+F159*0.3</f>
        <v>168</v>
      </c>
      <c r="H159" s="7">
        <v>158</v>
      </c>
    </row>
    <row r="160" spans="1:8" ht="12.45" customHeight="1" x14ac:dyDescent="0.3">
      <c r="A160" s="2" t="s">
        <v>184</v>
      </c>
      <c r="B160" s="2">
        <v>53.5</v>
      </c>
      <c r="C160" s="2">
        <v>4.3</v>
      </c>
      <c r="D160" s="2">
        <v>229.85</v>
      </c>
      <c r="E160" s="6">
        <f>_xlfn.RANK.EQ(C160,C:C,0)</f>
        <v>150</v>
      </c>
      <c r="F160" s="6">
        <f>_xlfn.RANK.EQ(D160,D:D,0)</f>
        <v>211</v>
      </c>
      <c r="G160" s="2">
        <f>E160*0.7+F160*0.3</f>
        <v>168.3</v>
      </c>
      <c r="H160" s="7">
        <v>159</v>
      </c>
    </row>
    <row r="161" spans="1:8" ht="12.45" customHeight="1" x14ac:dyDescent="0.3">
      <c r="A161" s="2" t="s">
        <v>185</v>
      </c>
      <c r="B161" s="2">
        <v>55.5</v>
      </c>
      <c r="C161" s="2">
        <v>4.26</v>
      </c>
      <c r="D161" s="2">
        <v>236.45</v>
      </c>
      <c r="E161" s="6">
        <f>_xlfn.RANK.EQ(C161,C:C,0)</f>
        <v>173</v>
      </c>
      <c r="F161" s="6">
        <f>_xlfn.RANK.EQ(D161,D:D,0)</f>
        <v>159</v>
      </c>
      <c r="G161" s="2">
        <f>E161*0.7+F161*0.3</f>
        <v>168.79999999999998</v>
      </c>
      <c r="H161" s="7">
        <v>160</v>
      </c>
    </row>
    <row r="162" spans="1:8" ht="12.45" customHeight="1" x14ac:dyDescent="0.3">
      <c r="A162" s="2" t="s">
        <v>186</v>
      </c>
      <c r="B162" s="2">
        <v>55</v>
      </c>
      <c r="C162" s="2">
        <v>4.2699999999999996</v>
      </c>
      <c r="D162" s="2">
        <v>235.1</v>
      </c>
      <c r="E162" s="6">
        <f>_xlfn.RANK.EQ(C162,C:C,0)</f>
        <v>169</v>
      </c>
      <c r="F162" s="6">
        <f>_xlfn.RANK.EQ(D162,D:D,0)</f>
        <v>170</v>
      </c>
      <c r="G162" s="2">
        <f>E162*0.7+F162*0.3</f>
        <v>169.3</v>
      </c>
      <c r="H162" s="7">
        <v>161</v>
      </c>
    </row>
    <row r="163" spans="1:8" ht="12.45" customHeight="1" x14ac:dyDescent="0.3">
      <c r="A163" s="2" t="s">
        <v>188</v>
      </c>
      <c r="B163" s="2">
        <v>50.5</v>
      </c>
      <c r="C163" s="2">
        <v>4.38</v>
      </c>
      <c r="D163" s="2">
        <v>221.15</v>
      </c>
      <c r="E163" s="6">
        <f>_xlfn.RANK.EQ(C163,C:C,0)</f>
        <v>115</v>
      </c>
      <c r="F163" s="6">
        <f>_xlfn.RANK.EQ(D163,D:D,0)</f>
        <v>296</v>
      </c>
      <c r="G163" s="2">
        <f>E163*0.7+F163*0.3</f>
        <v>169.3</v>
      </c>
      <c r="H163" s="7">
        <v>161</v>
      </c>
    </row>
    <row r="164" spans="1:8" ht="12.45" customHeight="1" x14ac:dyDescent="0.3">
      <c r="A164" s="2" t="s">
        <v>187</v>
      </c>
      <c r="B164" s="2">
        <v>54.5</v>
      </c>
      <c r="C164" s="2">
        <v>4.28</v>
      </c>
      <c r="D164" s="2">
        <v>233.35</v>
      </c>
      <c r="E164" s="6">
        <f>_xlfn.RANK.EQ(C164,C:C,0)</f>
        <v>164</v>
      </c>
      <c r="F164" s="6">
        <f>_xlfn.RANK.EQ(D164,D:D,0)</f>
        <v>183</v>
      </c>
      <c r="G164" s="2">
        <f>E164*0.7+F164*0.3</f>
        <v>169.7</v>
      </c>
      <c r="H164" s="7">
        <v>163</v>
      </c>
    </row>
    <row r="165" spans="1:8" ht="12.45" customHeight="1" x14ac:dyDescent="0.3">
      <c r="A165" s="2" t="s">
        <v>189</v>
      </c>
      <c r="B165" s="2">
        <v>57</v>
      </c>
      <c r="C165" s="2">
        <v>4.2300000000000004</v>
      </c>
      <c r="D165" s="2">
        <v>241.3</v>
      </c>
      <c r="E165" s="6">
        <f>_xlfn.RANK.EQ(C165,C:C,0)</f>
        <v>190</v>
      </c>
      <c r="F165" s="6">
        <f>_xlfn.RANK.EQ(D165,D:D,0)</f>
        <v>125</v>
      </c>
      <c r="G165" s="2">
        <f>E165*0.7+F165*0.3</f>
        <v>170.5</v>
      </c>
      <c r="H165" s="7">
        <v>164</v>
      </c>
    </row>
    <row r="166" spans="1:8" ht="12.45" customHeight="1" x14ac:dyDescent="0.3">
      <c r="A166" s="2" t="s">
        <v>190</v>
      </c>
      <c r="B166" s="2">
        <v>56</v>
      </c>
      <c r="C166" s="2">
        <v>4.25</v>
      </c>
      <c r="D166" s="2">
        <v>238.25</v>
      </c>
      <c r="E166" s="6">
        <f>_xlfn.RANK.EQ(C166,C:C,0)</f>
        <v>182</v>
      </c>
      <c r="F166" s="6">
        <f>_xlfn.RANK.EQ(D166,D:D,0)</f>
        <v>144</v>
      </c>
      <c r="G166" s="2">
        <f>E166*0.7+F166*0.3</f>
        <v>170.6</v>
      </c>
      <c r="H166" s="7">
        <v>165</v>
      </c>
    </row>
    <row r="167" spans="1:8" ht="12.45" customHeight="1" x14ac:dyDescent="0.3">
      <c r="A167" s="2" t="s">
        <v>191</v>
      </c>
      <c r="B167" s="2">
        <v>57</v>
      </c>
      <c r="C167" s="2">
        <v>4.2300000000000004</v>
      </c>
      <c r="D167" s="2">
        <v>241.1</v>
      </c>
      <c r="E167" s="6">
        <f>_xlfn.RANK.EQ(C167,C:C,0)</f>
        <v>190</v>
      </c>
      <c r="F167" s="6">
        <f>_xlfn.RANK.EQ(D167,D:D,0)</f>
        <v>127</v>
      </c>
      <c r="G167" s="2">
        <f>E167*0.7+F167*0.3</f>
        <v>171.1</v>
      </c>
      <c r="H167" s="7">
        <v>166</v>
      </c>
    </row>
    <row r="168" spans="1:8" ht="12.45" customHeight="1" x14ac:dyDescent="0.3">
      <c r="A168" s="2" t="s">
        <v>192</v>
      </c>
      <c r="B168" s="2">
        <v>51.5</v>
      </c>
      <c r="C168" s="2">
        <v>4.3499999999999996</v>
      </c>
      <c r="D168" s="2">
        <v>223.95</v>
      </c>
      <c r="E168" s="6">
        <f>_xlfn.RANK.EQ(C168,C:C,0)</f>
        <v>131</v>
      </c>
      <c r="F168" s="6">
        <f>_xlfn.RANK.EQ(D168,D:D,0)</f>
        <v>270</v>
      </c>
      <c r="G168" s="2">
        <f>E168*0.7+F168*0.3</f>
        <v>172.7</v>
      </c>
      <c r="H168" s="7">
        <v>167</v>
      </c>
    </row>
    <row r="169" spans="1:8" ht="12.45" customHeight="1" x14ac:dyDescent="0.3">
      <c r="A169" s="2" t="s">
        <v>193</v>
      </c>
      <c r="B169" s="2">
        <v>59</v>
      </c>
      <c r="C169" s="2">
        <v>4.2</v>
      </c>
      <c r="D169" s="2">
        <v>247.9</v>
      </c>
      <c r="E169" s="6">
        <f>_xlfn.RANK.EQ(C169,C:C,0)</f>
        <v>210</v>
      </c>
      <c r="F169" s="6">
        <f>_xlfn.RANK.EQ(D169,D:D,0)</f>
        <v>90</v>
      </c>
      <c r="G169" s="2">
        <f>E169*0.7+F169*0.3</f>
        <v>174</v>
      </c>
      <c r="H169" s="7">
        <v>168</v>
      </c>
    </row>
    <row r="170" spans="1:8" ht="12.45" customHeight="1" x14ac:dyDescent="0.3">
      <c r="A170" s="2" t="s">
        <v>194</v>
      </c>
      <c r="B170" s="2">
        <v>56.5</v>
      </c>
      <c r="C170" s="2">
        <v>4.2300000000000004</v>
      </c>
      <c r="D170" s="2">
        <v>238.85</v>
      </c>
      <c r="E170" s="6">
        <f>_xlfn.RANK.EQ(C170,C:C,0)</f>
        <v>190</v>
      </c>
      <c r="F170" s="6">
        <f>_xlfn.RANK.EQ(D170,D:D,0)</f>
        <v>137</v>
      </c>
      <c r="G170" s="2">
        <f>E170*0.7+F170*0.3</f>
        <v>174.1</v>
      </c>
      <c r="H170" s="7">
        <v>169</v>
      </c>
    </row>
    <row r="171" spans="1:8" ht="12.45" customHeight="1" x14ac:dyDescent="0.3">
      <c r="A171" s="2" t="s">
        <v>196</v>
      </c>
      <c r="B171" s="2">
        <v>58</v>
      </c>
      <c r="C171" s="2">
        <v>4.21</v>
      </c>
      <c r="D171" s="2">
        <v>243.9</v>
      </c>
      <c r="E171" s="6">
        <f>_xlfn.RANK.EQ(C171,C:C,0)</f>
        <v>202</v>
      </c>
      <c r="F171" s="6">
        <f>_xlfn.RANK.EQ(D171,D:D,0)</f>
        <v>112</v>
      </c>
      <c r="G171" s="2">
        <f>E171*0.7+F171*0.3</f>
        <v>174.99999999999997</v>
      </c>
      <c r="H171" s="7">
        <v>170</v>
      </c>
    </row>
    <row r="172" spans="1:8" ht="12.45" customHeight="1" x14ac:dyDescent="0.3">
      <c r="A172" s="2" t="s">
        <v>195</v>
      </c>
      <c r="B172" s="2">
        <v>53.5</v>
      </c>
      <c r="C172" s="2">
        <v>4.29</v>
      </c>
      <c r="D172" s="2">
        <v>229.55</v>
      </c>
      <c r="E172" s="6">
        <f>_xlfn.RANK.EQ(C172,C:C,0)</f>
        <v>158</v>
      </c>
      <c r="F172" s="6">
        <f>_xlfn.RANK.EQ(D172,D:D,0)</f>
        <v>215</v>
      </c>
      <c r="G172" s="2">
        <f>E172*0.7+F172*0.3</f>
        <v>175.1</v>
      </c>
      <c r="H172" s="7">
        <v>171</v>
      </c>
    </row>
    <row r="173" spans="1:8" ht="12.45" customHeight="1" x14ac:dyDescent="0.3">
      <c r="A173" s="2" t="s">
        <v>197</v>
      </c>
      <c r="B173" s="2">
        <v>54.5</v>
      </c>
      <c r="C173" s="2">
        <v>4.26</v>
      </c>
      <c r="D173" s="2">
        <v>232.4</v>
      </c>
      <c r="E173" s="6">
        <f>_xlfn.RANK.EQ(C173,C:C,0)</f>
        <v>173</v>
      </c>
      <c r="F173" s="6">
        <f>_xlfn.RANK.EQ(D173,D:D,0)</f>
        <v>187</v>
      </c>
      <c r="G173" s="2">
        <f>E173*0.7+F173*0.3</f>
        <v>177.2</v>
      </c>
      <c r="H173" s="7">
        <v>172</v>
      </c>
    </row>
    <row r="174" spans="1:8" ht="12.45" customHeight="1" x14ac:dyDescent="0.3">
      <c r="A174" s="2" t="s">
        <v>198</v>
      </c>
      <c r="B174" s="2">
        <v>57.5</v>
      </c>
      <c r="C174" s="2">
        <v>4.21</v>
      </c>
      <c r="D174" s="2">
        <v>242.15</v>
      </c>
      <c r="E174" s="6">
        <f>_xlfn.RANK.EQ(C174,C:C,0)</f>
        <v>202</v>
      </c>
      <c r="F174" s="6">
        <f>_xlfn.RANK.EQ(D174,D:D,0)</f>
        <v>120</v>
      </c>
      <c r="G174" s="2">
        <f>E174*0.7+F174*0.3</f>
        <v>177.39999999999998</v>
      </c>
      <c r="H174" s="7">
        <v>173</v>
      </c>
    </row>
    <row r="175" spans="1:8" ht="12.45" customHeight="1" x14ac:dyDescent="0.3">
      <c r="A175" s="2" t="s">
        <v>199</v>
      </c>
      <c r="B175" s="2">
        <v>51.5</v>
      </c>
      <c r="C175" s="2">
        <v>4.34</v>
      </c>
      <c r="D175" s="2">
        <v>223.7</v>
      </c>
      <c r="E175" s="6">
        <f>_xlfn.RANK.EQ(C175,C:C,0)</f>
        <v>136</v>
      </c>
      <c r="F175" s="6">
        <f>_xlfn.RANK.EQ(D175,D:D,0)</f>
        <v>274</v>
      </c>
      <c r="G175" s="2">
        <f>E175*0.7+F175*0.3</f>
        <v>177.39999999999998</v>
      </c>
      <c r="H175" s="7">
        <v>173</v>
      </c>
    </row>
    <row r="176" spans="1:8" ht="12.45" customHeight="1" x14ac:dyDescent="0.3">
      <c r="A176" s="2" t="s">
        <v>200</v>
      </c>
      <c r="B176" s="2">
        <v>57.5</v>
      </c>
      <c r="C176" s="2">
        <v>4.21</v>
      </c>
      <c r="D176" s="2">
        <v>241.85</v>
      </c>
      <c r="E176" s="6">
        <f>_xlfn.RANK.EQ(C176,C:C,0)</f>
        <v>202</v>
      </c>
      <c r="F176" s="6">
        <f>_xlfn.RANK.EQ(D176,D:D,0)</f>
        <v>121</v>
      </c>
      <c r="G176" s="2">
        <f>E176*0.7+F176*0.3</f>
        <v>177.7</v>
      </c>
      <c r="H176" s="7">
        <v>175</v>
      </c>
    </row>
    <row r="177" spans="1:8" ht="12.45" customHeight="1" x14ac:dyDescent="0.3">
      <c r="A177" s="2" t="s">
        <v>201</v>
      </c>
      <c r="B177" s="2">
        <v>54.5</v>
      </c>
      <c r="C177" s="2">
        <v>4.26</v>
      </c>
      <c r="D177" s="2">
        <v>232.3</v>
      </c>
      <c r="E177" s="6">
        <f>_xlfn.RANK.EQ(C177,C:C,0)</f>
        <v>173</v>
      </c>
      <c r="F177" s="6">
        <f>_xlfn.RANK.EQ(D177,D:D,0)</f>
        <v>189</v>
      </c>
      <c r="G177" s="2">
        <f>E177*0.7+F177*0.3</f>
        <v>177.79999999999998</v>
      </c>
      <c r="H177" s="7">
        <v>176</v>
      </c>
    </row>
    <row r="178" spans="1:8" ht="12.45" customHeight="1" x14ac:dyDescent="0.3">
      <c r="A178" s="2" t="s">
        <v>202</v>
      </c>
      <c r="B178" s="2">
        <v>61.5</v>
      </c>
      <c r="C178" s="2">
        <v>4.16</v>
      </c>
      <c r="D178" s="2">
        <v>255.85</v>
      </c>
      <c r="E178" s="6">
        <f>_xlfn.RANK.EQ(C178,C:C,0)</f>
        <v>234</v>
      </c>
      <c r="F178" s="6">
        <f>_xlfn.RANK.EQ(D178,D:D,0)</f>
        <v>48</v>
      </c>
      <c r="G178" s="2">
        <f>E178*0.7+F178*0.3</f>
        <v>178.2</v>
      </c>
      <c r="H178" s="7">
        <v>177</v>
      </c>
    </row>
    <row r="179" spans="1:8" ht="12.45" customHeight="1" x14ac:dyDescent="0.3">
      <c r="A179" s="2" t="s">
        <v>204</v>
      </c>
      <c r="B179" s="2">
        <v>53.5</v>
      </c>
      <c r="C179" s="2">
        <v>4.29</v>
      </c>
      <c r="D179" s="2">
        <v>228.15</v>
      </c>
      <c r="E179" s="6">
        <f>_xlfn.RANK.EQ(C179,C:C,0)</f>
        <v>158</v>
      </c>
      <c r="F179" s="6">
        <f>_xlfn.RANK.EQ(D179,D:D,0)</f>
        <v>226</v>
      </c>
      <c r="G179" s="2">
        <f>E179*0.7+F179*0.3</f>
        <v>178.39999999999998</v>
      </c>
      <c r="H179" s="7">
        <v>178</v>
      </c>
    </row>
    <row r="180" spans="1:8" ht="12.45" customHeight="1" x14ac:dyDescent="0.3">
      <c r="A180" s="2" t="s">
        <v>203</v>
      </c>
      <c r="B180" s="2">
        <v>59</v>
      </c>
      <c r="C180" s="2">
        <v>4.1900000000000004</v>
      </c>
      <c r="D180" s="2">
        <v>247.05</v>
      </c>
      <c r="E180" s="6">
        <f>_xlfn.RANK.EQ(C180,C:C,0)</f>
        <v>215</v>
      </c>
      <c r="F180" s="6">
        <f>_xlfn.RANK.EQ(D180,D:D,0)</f>
        <v>94</v>
      </c>
      <c r="G180" s="2">
        <f>E180*0.7+F180*0.3</f>
        <v>178.7</v>
      </c>
      <c r="H180" s="7">
        <v>179</v>
      </c>
    </row>
    <row r="181" spans="1:8" ht="12.45" customHeight="1" x14ac:dyDescent="0.3">
      <c r="A181" s="2" t="s">
        <v>205</v>
      </c>
      <c r="B181" s="2">
        <v>61.5</v>
      </c>
      <c r="C181" s="2">
        <v>4.1500000000000004</v>
      </c>
      <c r="D181" s="2">
        <v>255.1</v>
      </c>
      <c r="E181" s="6">
        <f>_xlfn.RANK.EQ(C181,C:C,0)</f>
        <v>239</v>
      </c>
      <c r="F181" s="6">
        <f>_xlfn.RANK.EQ(D181,D:D,0)</f>
        <v>51</v>
      </c>
      <c r="G181" s="2">
        <f>E181*0.7+F181*0.3</f>
        <v>182.6</v>
      </c>
      <c r="H181" s="7">
        <v>180</v>
      </c>
    </row>
    <row r="182" spans="1:8" ht="12.45" customHeight="1" x14ac:dyDescent="0.3">
      <c r="A182" s="2" t="s">
        <v>206</v>
      </c>
      <c r="B182" s="2">
        <v>59</v>
      </c>
      <c r="C182" s="2">
        <v>4.18</v>
      </c>
      <c r="D182" s="2">
        <v>246.4</v>
      </c>
      <c r="E182" s="6">
        <f>_xlfn.RANK.EQ(C182,C:C,0)</f>
        <v>221</v>
      </c>
      <c r="F182" s="6">
        <f>_xlfn.RANK.EQ(D182,D:D,0)</f>
        <v>96</v>
      </c>
      <c r="G182" s="2">
        <f>E182*0.7+F182*0.3</f>
        <v>183.5</v>
      </c>
      <c r="H182" s="7">
        <v>181</v>
      </c>
    </row>
    <row r="183" spans="1:8" ht="12.45" customHeight="1" x14ac:dyDescent="0.3">
      <c r="A183" s="2" t="s">
        <v>207</v>
      </c>
      <c r="B183" s="2">
        <v>55.5</v>
      </c>
      <c r="C183" s="2">
        <v>4.2300000000000004</v>
      </c>
      <c r="D183" s="2">
        <v>234.6</v>
      </c>
      <c r="E183" s="6">
        <f>_xlfn.RANK.EQ(C183,C:C,0)</f>
        <v>190</v>
      </c>
      <c r="F183" s="6">
        <f>_xlfn.RANK.EQ(D183,D:D,0)</f>
        <v>174</v>
      </c>
      <c r="G183" s="2">
        <f>E183*0.7+F183*0.3</f>
        <v>185.2</v>
      </c>
      <c r="H183" s="7">
        <v>182</v>
      </c>
    </row>
    <row r="184" spans="1:8" ht="12.45" customHeight="1" x14ac:dyDescent="0.3">
      <c r="A184" s="2" t="s">
        <v>208</v>
      </c>
      <c r="B184" s="2">
        <v>53</v>
      </c>
      <c r="C184" s="2">
        <v>4.28</v>
      </c>
      <c r="D184" s="2">
        <v>227.1</v>
      </c>
      <c r="E184" s="6">
        <f>_xlfn.RANK.EQ(C184,C:C,0)</f>
        <v>164</v>
      </c>
      <c r="F184" s="6">
        <f>_xlfn.RANK.EQ(D184,D:D,0)</f>
        <v>236</v>
      </c>
      <c r="G184" s="2">
        <f>E184*0.7+F184*0.3</f>
        <v>185.6</v>
      </c>
      <c r="H184" s="7">
        <v>183</v>
      </c>
    </row>
    <row r="185" spans="1:8" ht="12.45" customHeight="1" x14ac:dyDescent="0.3">
      <c r="A185" s="2" t="s">
        <v>209</v>
      </c>
      <c r="B185" s="2">
        <v>56</v>
      </c>
      <c r="C185" s="2">
        <v>4.22</v>
      </c>
      <c r="D185" s="2">
        <v>236.15</v>
      </c>
      <c r="E185" s="6">
        <f>_xlfn.RANK.EQ(C185,C:C,0)</f>
        <v>199</v>
      </c>
      <c r="F185" s="6">
        <f>_xlfn.RANK.EQ(D185,D:D,0)</f>
        <v>162</v>
      </c>
      <c r="G185" s="2">
        <f>E185*0.7+F185*0.3</f>
        <v>187.89999999999998</v>
      </c>
      <c r="H185" s="7">
        <v>184</v>
      </c>
    </row>
    <row r="186" spans="1:8" ht="12.45" customHeight="1" x14ac:dyDescent="0.3">
      <c r="A186" s="2" t="s">
        <v>210</v>
      </c>
      <c r="B186" s="2">
        <v>51.5</v>
      </c>
      <c r="C186" s="2">
        <v>4.3099999999999996</v>
      </c>
      <c r="D186" s="2">
        <v>221.8</v>
      </c>
      <c r="E186" s="6">
        <f>_xlfn.RANK.EQ(C186,C:C,0)</f>
        <v>148</v>
      </c>
      <c r="F186" s="6">
        <f>_xlfn.RANK.EQ(D186,D:D,0)</f>
        <v>289</v>
      </c>
      <c r="G186" s="2">
        <f>E186*0.7+F186*0.3</f>
        <v>190.3</v>
      </c>
      <c r="H186" s="7">
        <v>185</v>
      </c>
    </row>
    <row r="187" spans="1:8" ht="12.45" customHeight="1" x14ac:dyDescent="0.3">
      <c r="A187" s="2" t="s">
        <v>235</v>
      </c>
      <c r="B187" s="2">
        <v>58</v>
      </c>
      <c r="C187" s="2">
        <v>4.18</v>
      </c>
      <c r="D187" s="2">
        <v>242.25</v>
      </c>
      <c r="E187" s="6">
        <f>_xlfn.RANK.EQ(C187,C:C,0)</f>
        <v>221</v>
      </c>
      <c r="F187" s="6">
        <f>_xlfn.RANK.EQ(D187,D:D,0)</f>
        <v>119</v>
      </c>
      <c r="G187" s="2">
        <f>E187*0.7+F187*0.3</f>
        <v>190.39999999999998</v>
      </c>
      <c r="H187" s="7">
        <v>186</v>
      </c>
    </row>
    <row r="188" spans="1:8" ht="12.45" customHeight="1" x14ac:dyDescent="0.3">
      <c r="A188" s="2" t="s">
        <v>213</v>
      </c>
      <c r="B188" s="2">
        <v>50</v>
      </c>
      <c r="C188" s="2">
        <v>4.3499999999999996</v>
      </c>
      <c r="D188" s="2">
        <v>217.3</v>
      </c>
      <c r="E188" s="6">
        <f>_xlfn.RANK.EQ(C188,C:C,0)</f>
        <v>131</v>
      </c>
      <c r="F188" s="6">
        <f>_xlfn.RANK.EQ(D188,D:D,0)</f>
        <v>332</v>
      </c>
      <c r="G188" s="2">
        <f>E188*0.7+F188*0.3</f>
        <v>191.29999999999998</v>
      </c>
      <c r="H188" s="7">
        <v>187</v>
      </c>
    </row>
    <row r="189" spans="1:8" ht="12.45" customHeight="1" x14ac:dyDescent="0.3">
      <c r="A189" s="2" t="s">
        <v>211</v>
      </c>
      <c r="B189" s="2">
        <v>57</v>
      </c>
      <c r="C189" s="2">
        <v>4.1900000000000004</v>
      </c>
      <c r="D189" s="2">
        <v>238.95</v>
      </c>
      <c r="E189" s="6">
        <f>_xlfn.RANK.EQ(C189,C:C,0)</f>
        <v>215</v>
      </c>
      <c r="F189" s="6">
        <f>_xlfn.RANK.EQ(D189,D:D,0)</f>
        <v>136</v>
      </c>
      <c r="G189" s="2">
        <f>E189*0.7+F189*0.3</f>
        <v>191.3</v>
      </c>
      <c r="H189" s="7">
        <v>187</v>
      </c>
    </row>
    <row r="190" spans="1:8" ht="12.45" customHeight="1" x14ac:dyDescent="0.3">
      <c r="A190" s="2" t="s">
        <v>212</v>
      </c>
      <c r="B190" s="2">
        <v>55.5</v>
      </c>
      <c r="C190" s="2">
        <v>4.22</v>
      </c>
      <c r="D190" s="2">
        <v>234.4</v>
      </c>
      <c r="E190" s="6">
        <f>_xlfn.RANK.EQ(C190,C:C,0)</f>
        <v>199</v>
      </c>
      <c r="F190" s="6">
        <f>_xlfn.RANK.EQ(D190,D:D,0)</f>
        <v>175</v>
      </c>
      <c r="G190" s="2">
        <f>E190*0.7+F190*0.3</f>
        <v>191.79999999999998</v>
      </c>
      <c r="H190" s="7">
        <v>189</v>
      </c>
    </row>
    <row r="191" spans="1:8" ht="12.45" customHeight="1" x14ac:dyDescent="0.3">
      <c r="A191" s="2" t="s">
        <v>214</v>
      </c>
      <c r="B191" s="2">
        <v>54</v>
      </c>
      <c r="C191" s="2">
        <v>4.25</v>
      </c>
      <c r="D191" s="2">
        <v>229.5</v>
      </c>
      <c r="E191" s="6">
        <f>_xlfn.RANK.EQ(C191,C:C,0)</f>
        <v>182</v>
      </c>
      <c r="F191" s="6">
        <f>_xlfn.RANK.EQ(D191,D:D,0)</f>
        <v>216</v>
      </c>
      <c r="G191" s="2">
        <f>E191*0.7+F191*0.3</f>
        <v>192.2</v>
      </c>
      <c r="H191" s="7">
        <v>190</v>
      </c>
    </row>
    <row r="192" spans="1:8" ht="12.45" customHeight="1" x14ac:dyDescent="0.3">
      <c r="A192" s="2" t="s">
        <v>215</v>
      </c>
      <c r="B192" s="2">
        <v>58.5</v>
      </c>
      <c r="C192" s="2">
        <v>4.17</v>
      </c>
      <c r="D192" s="2">
        <v>244.2</v>
      </c>
      <c r="E192" s="6">
        <f>_xlfn.RANK.EQ(C192,C:C,0)</f>
        <v>228</v>
      </c>
      <c r="F192" s="6">
        <f>_xlfn.RANK.EQ(D192,D:D,0)</f>
        <v>110</v>
      </c>
      <c r="G192" s="2">
        <f>E192*0.7+F192*0.3</f>
        <v>192.6</v>
      </c>
      <c r="H192" s="7">
        <v>191</v>
      </c>
    </row>
    <row r="193" spans="1:8" ht="12.45" customHeight="1" x14ac:dyDescent="0.3">
      <c r="A193" s="2" t="s">
        <v>217</v>
      </c>
      <c r="B193" s="2">
        <v>60</v>
      </c>
      <c r="C193" s="2">
        <v>4.1500000000000004</v>
      </c>
      <c r="D193" s="2">
        <v>248.7</v>
      </c>
      <c r="E193" s="6">
        <f>_xlfn.RANK.EQ(C193,C:C,0)</f>
        <v>239</v>
      </c>
      <c r="F193" s="6">
        <f>_xlfn.RANK.EQ(D193,D:D,0)</f>
        <v>85</v>
      </c>
      <c r="G193" s="2">
        <f>E193*0.7+F193*0.3</f>
        <v>192.79999999999998</v>
      </c>
      <c r="H193" s="7">
        <v>192</v>
      </c>
    </row>
    <row r="194" spans="1:8" ht="12.45" customHeight="1" x14ac:dyDescent="0.3">
      <c r="A194" s="2" t="s">
        <v>216</v>
      </c>
      <c r="B194" s="2">
        <v>54.5</v>
      </c>
      <c r="C194" s="2">
        <v>4.2300000000000004</v>
      </c>
      <c r="D194" s="2">
        <v>230.5</v>
      </c>
      <c r="E194" s="6">
        <f>_xlfn.RANK.EQ(C194,C:C,0)</f>
        <v>190</v>
      </c>
      <c r="F194" s="6">
        <f>_xlfn.RANK.EQ(D194,D:D,0)</f>
        <v>203</v>
      </c>
      <c r="G194" s="2">
        <f>E194*0.7+F194*0.3</f>
        <v>193.9</v>
      </c>
      <c r="H194" s="7">
        <v>193</v>
      </c>
    </row>
    <row r="195" spans="1:8" ht="12.45" customHeight="1" x14ac:dyDescent="0.3">
      <c r="A195" s="2" t="s">
        <v>218</v>
      </c>
      <c r="B195" s="2">
        <v>59.5</v>
      </c>
      <c r="C195" s="2">
        <v>4.1500000000000004</v>
      </c>
      <c r="D195" s="2">
        <v>246.9</v>
      </c>
      <c r="E195" s="6">
        <f>_xlfn.RANK.EQ(C195,C:C,0)</f>
        <v>239</v>
      </c>
      <c r="F195" s="6">
        <f>_xlfn.RANK.EQ(D195,D:D,0)</f>
        <v>95</v>
      </c>
      <c r="G195" s="2">
        <f>E195*0.7+F195*0.3</f>
        <v>195.79999999999998</v>
      </c>
      <c r="H195" s="7">
        <v>194</v>
      </c>
    </row>
    <row r="196" spans="1:8" ht="12.45" customHeight="1" x14ac:dyDescent="0.3">
      <c r="A196" s="2" t="s">
        <v>221</v>
      </c>
      <c r="B196" s="2">
        <v>57</v>
      </c>
      <c r="C196" s="2">
        <v>4.18</v>
      </c>
      <c r="D196" s="2">
        <v>238.4</v>
      </c>
      <c r="E196" s="6">
        <f>_xlfn.RANK.EQ(C196,C:C,0)</f>
        <v>221</v>
      </c>
      <c r="F196" s="6">
        <f>_xlfn.RANK.EQ(D196,D:D,0)</f>
        <v>143</v>
      </c>
      <c r="G196" s="2">
        <f>E196*0.7+F196*0.3</f>
        <v>197.6</v>
      </c>
      <c r="H196" s="7">
        <v>195</v>
      </c>
    </row>
    <row r="197" spans="1:8" ht="12.45" customHeight="1" x14ac:dyDescent="0.3">
      <c r="A197" s="2" t="s">
        <v>219</v>
      </c>
      <c r="B197" s="2">
        <v>60</v>
      </c>
      <c r="C197" s="2">
        <v>4.1399999999999997</v>
      </c>
      <c r="D197" s="2">
        <v>248.6</v>
      </c>
      <c r="E197" s="6">
        <f>_xlfn.RANK.EQ(C197,C:C,0)</f>
        <v>246</v>
      </c>
      <c r="F197" s="6">
        <f>_xlfn.RANK.EQ(D197,D:D,0)</f>
        <v>86</v>
      </c>
      <c r="G197" s="2">
        <f>E197*0.7+F197*0.3</f>
        <v>198</v>
      </c>
      <c r="H197" s="7">
        <v>196</v>
      </c>
    </row>
    <row r="198" spans="1:8" ht="12.45" customHeight="1" x14ac:dyDescent="0.3">
      <c r="A198" s="2" t="s">
        <v>220</v>
      </c>
      <c r="B198" s="2">
        <v>56</v>
      </c>
      <c r="C198" s="2">
        <v>4.2</v>
      </c>
      <c r="D198" s="2">
        <v>235.05</v>
      </c>
      <c r="E198" s="6">
        <f>_xlfn.RANK.EQ(C198,C:C,0)</f>
        <v>210</v>
      </c>
      <c r="F198" s="6">
        <f>_xlfn.RANK.EQ(D198,D:D,0)</f>
        <v>171</v>
      </c>
      <c r="G198" s="2">
        <f>E198*0.7+F198*0.3</f>
        <v>198.3</v>
      </c>
      <c r="H198" s="7">
        <v>197</v>
      </c>
    </row>
    <row r="199" spans="1:8" ht="12.45" customHeight="1" x14ac:dyDescent="0.3">
      <c r="A199" s="2" t="s">
        <v>222</v>
      </c>
      <c r="B199" s="2">
        <v>55</v>
      </c>
      <c r="C199" s="2">
        <v>4.21</v>
      </c>
      <c r="D199" s="2">
        <v>231.6</v>
      </c>
      <c r="E199" s="6">
        <f>_xlfn.RANK.EQ(C199,C:C,0)</f>
        <v>202</v>
      </c>
      <c r="F199" s="6">
        <f>_xlfn.RANK.EQ(D199,D:D,0)</f>
        <v>195</v>
      </c>
      <c r="G199" s="2">
        <f>E199*0.7+F199*0.3</f>
        <v>199.89999999999998</v>
      </c>
      <c r="H199" s="7">
        <v>198</v>
      </c>
    </row>
    <row r="200" spans="1:8" ht="12.45" customHeight="1" x14ac:dyDescent="0.3">
      <c r="A200" s="2" t="s">
        <v>223</v>
      </c>
      <c r="B200" s="2">
        <v>54.5</v>
      </c>
      <c r="C200" s="2">
        <v>4.22</v>
      </c>
      <c r="D200" s="2">
        <v>230.2</v>
      </c>
      <c r="E200" s="6">
        <f>_xlfn.RANK.EQ(C200,C:C,0)</f>
        <v>199</v>
      </c>
      <c r="F200" s="6">
        <f>_xlfn.RANK.EQ(D200,D:D,0)</f>
        <v>207</v>
      </c>
      <c r="G200" s="2">
        <f>E200*0.7+F200*0.3</f>
        <v>201.39999999999998</v>
      </c>
      <c r="H200" s="7">
        <v>199</v>
      </c>
    </row>
    <row r="201" spans="1:8" ht="12.45" customHeight="1" x14ac:dyDescent="0.3">
      <c r="A201" s="2" t="s">
        <v>224</v>
      </c>
      <c r="B201" s="2">
        <v>53.5</v>
      </c>
      <c r="C201" s="2">
        <v>4.24</v>
      </c>
      <c r="D201" s="2">
        <v>226.7</v>
      </c>
      <c r="E201" s="6">
        <f>_xlfn.RANK.EQ(C201,C:C,0)</f>
        <v>185</v>
      </c>
      <c r="F201" s="6">
        <f>_xlfn.RANK.EQ(D201,D:D,0)</f>
        <v>241</v>
      </c>
      <c r="G201" s="2">
        <f>E201*0.7+F201*0.3</f>
        <v>201.8</v>
      </c>
      <c r="H201" s="7">
        <v>200</v>
      </c>
    </row>
    <row r="202" spans="1:8" ht="12.45" customHeight="1" x14ac:dyDescent="0.3">
      <c r="A202" s="2" t="s">
        <v>240</v>
      </c>
      <c r="B202" s="2">
        <v>56.5</v>
      </c>
      <c r="C202" s="2">
        <v>4.18</v>
      </c>
      <c r="D202" s="2">
        <v>236.35</v>
      </c>
      <c r="E202" s="6">
        <f>_xlfn.RANK.EQ(C202,C:C,0)</f>
        <v>221</v>
      </c>
      <c r="F202" s="6">
        <f>_xlfn.RANK.EQ(D202,D:D,0)</f>
        <v>160</v>
      </c>
      <c r="G202" s="2">
        <f>E202*0.7+F202*0.3</f>
        <v>202.7</v>
      </c>
      <c r="H202" s="7">
        <v>201</v>
      </c>
    </row>
    <row r="203" spans="1:8" ht="12.45" customHeight="1" x14ac:dyDescent="0.3">
      <c r="A203" s="2" t="s">
        <v>225</v>
      </c>
      <c r="B203" s="2">
        <v>52.5</v>
      </c>
      <c r="C203" s="2">
        <v>4.26</v>
      </c>
      <c r="D203" s="2">
        <v>223.8</v>
      </c>
      <c r="E203" s="6">
        <f>_xlfn.RANK.EQ(C203,C:C,0)</f>
        <v>173</v>
      </c>
      <c r="F203" s="6">
        <f>_xlfn.RANK.EQ(D203,D:D,0)</f>
        <v>273</v>
      </c>
      <c r="G203" s="2">
        <f>E203*0.7+F203*0.3</f>
        <v>203</v>
      </c>
      <c r="H203" s="7">
        <v>202</v>
      </c>
    </row>
    <row r="204" spans="1:8" ht="12.45" customHeight="1" x14ac:dyDescent="0.3">
      <c r="A204" s="2" t="s">
        <v>226</v>
      </c>
      <c r="B204" s="2">
        <v>51</v>
      </c>
      <c r="C204" s="2">
        <v>4.29</v>
      </c>
      <c r="D204" s="2">
        <v>219</v>
      </c>
      <c r="E204" s="6">
        <f>_xlfn.RANK.EQ(C204,C:C,0)</f>
        <v>158</v>
      </c>
      <c r="F204" s="6">
        <f>_xlfn.RANK.EQ(D204,D:D,0)</f>
        <v>312</v>
      </c>
      <c r="G204" s="2">
        <f>E204*0.7+F204*0.3</f>
        <v>204.2</v>
      </c>
      <c r="H204" s="7">
        <v>203</v>
      </c>
    </row>
    <row r="205" spans="1:8" ht="12.45" customHeight="1" x14ac:dyDescent="0.3">
      <c r="A205" s="2" t="s">
        <v>227</v>
      </c>
      <c r="B205" s="2">
        <v>54.5</v>
      </c>
      <c r="C205" s="2">
        <v>4.21</v>
      </c>
      <c r="D205" s="2">
        <v>229.3</v>
      </c>
      <c r="E205" s="6">
        <f>_xlfn.RANK.EQ(C205,C:C,0)</f>
        <v>202</v>
      </c>
      <c r="F205" s="6">
        <f>_xlfn.RANK.EQ(D205,D:D,0)</f>
        <v>217</v>
      </c>
      <c r="G205" s="2">
        <f>E205*0.7+F205*0.3</f>
        <v>206.49999999999997</v>
      </c>
      <c r="H205" s="7">
        <v>204</v>
      </c>
    </row>
    <row r="206" spans="1:8" ht="12.45" customHeight="1" x14ac:dyDescent="0.3">
      <c r="A206" s="2" t="s">
        <v>228</v>
      </c>
      <c r="B206" s="2">
        <v>53.5</v>
      </c>
      <c r="C206" s="2">
        <v>4.2300000000000004</v>
      </c>
      <c r="D206" s="2">
        <v>226.4</v>
      </c>
      <c r="E206" s="6">
        <f>_xlfn.RANK.EQ(C206,C:C,0)</f>
        <v>190</v>
      </c>
      <c r="F206" s="6">
        <f>_xlfn.RANK.EQ(D206,D:D,0)</f>
        <v>246</v>
      </c>
      <c r="G206" s="2">
        <f>E206*0.7+F206*0.3</f>
        <v>206.8</v>
      </c>
      <c r="H206" s="7">
        <v>205</v>
      </c>
    </row>
    <row r="207" spans="1:8" ht="12.45" customHeight="1" x14ac:dyDescent="0.3">
      <c r="A207" s="2" t="s">
        <v>229</v>
      </c>
      <c r="B207" s="2">
        <v>56</v>
      </c>
      <c r="C207" s="2">
        <v>4.18</v>
      </c>
      <c r="D207" s="2">
        <v>233.9</v>
      </c>
      <c r="E207" s="6">
        <f>_xlfn.RANK.EQ(C207,C:C,0)</f>
        <v>221</v>
      </c>
      <c r="F207" s="6">
        <f>_xlfn.RANK.EQ(D207,D:D,0)</f>
        <v>179</v>
      </c>
      <c r="G207" s="2">
        <f>E207*0.7+F207*0.3</f>
        <v>208.39999999999998</v>
      </c>
      <c r="H207" s="7">
        <v>206</v>
      </c>
    </row>
    <row r="208" spans="1:8" ht="12.45" customHeight="1" x14ac:dyDescent="0.3">
      <c r="A208" s="2" t="s">
        <v>230</v>
      </c>
      <c r="B208" s="2">
        <v>52</v>
      </c>
      <c r="C208" s="2">
        <v>4.26</v>
      </c>
      <c r="D208" s="2">
        <v>221.45</v>
      </c>
      <c r="E208" s="6">
        <f>_xlfn.RANK.EQ(C208,C:C,0)</f>
        <v>173</v>
      </c>
      <c r="F208" s="6">
        <f>_xlfn.RANK.EQ(D208,D:D,0)</f>
        <v>292</v>
      </c>
      <c r="G208" s="2">
        <f>E208*0.7+F208*0.3</f>
        <v>208.7</v>
      </c>
      <c r="H208" s="7">
        <v>207</v>
      </c>
    </row>
    <row r="209" spans="1:8" ht="12.45" customHeight="1" x14ac:dyDescent="0.3">
      <c r="A209" s="2" t="s">
        <v>232</v>
      </c>
      <c r="B209" s="2">
        <v>48.5</v>
      </c>
      <c r="C209" s="2">
        <v>4.34</v>
      </c>
      <c r="D209" s="2">
        <v>210.45</v>
      </c>
      <c r="E209" s="6">
        <f>_xlfn.RANK.EQ(C209,C:C,0)</f>
        <v>136</v>
      </c>
      <c r="F209" s="6">
        <f>_xlfn.RANK.EQ(D209,D:D,0)</f>
        <v>382</v>
      </c>
      <c r="G209" s="2">
        <f>E209*0.7+F209*0.3</f>
        <v>209.79999999999998</v>
      </c>
      <c r="H209" s="7">
        <v>208</v>
      </c>
    </row>
    <row r="210" spans="1:8" ht="12.45" customHeight="1" x14ac:dyDescent="0.3">
      <c r="A210" s="2" t="s">
        <v>231</v>
      </c>
      <c r="B210" s="2">
        <v>56.5</v>
      </c>
      <c r="C210" s="2">
        <v>4.17</v>
      </c>
      <c r="D210" s="2">
        <v>235.4</v>
      </c>
      <c r="E210" s="6">
        <f>_xlfn.RANK.EQ(C210,C:C,0)</f>
        <v>228</v>
      </c>
      <c r="F210" s="6">
        <f>_xlfn.RANK.EQ(D210,D:D,0)</f>
        <v>169</v>
      </c>
      <c r="G210" s="2">
        <f>E210*0.7+F210*0.3</f>
        <v>210.29999999999998</v>
      </c>
      <c r="H210" s="7">
        <v>209</v>
      </c>
    </row>
    <row r="211" spans="1:8" ht="12.45" customHeight="1" x14ac:dyDescent="0.3">
      <c r="A211" s="2" t="s">
        <v>233</v>
      </c>
      <c r="B211" s="2">
        <v>55</v>
      </c>
      <c r="C211" s="2">
        <v>4.1900000000000004</v>
      </c>
      <c r="D211" s="2">
        <v>230.4</v>
      </c>
      <c r="E211" s="6">
        <f>_xlfn.RANK.EQ(C211,C:C,0)</f>
        <v>215</v>
      </c>
      <c r="F211" s="6">
        <f>_xlfn.RANK.EQ(D211,D:D,0)</f>
        <v>205</v>
      </c>
      <c r="G211" s="2">
        <f>E211*0.7+F211*0.3</f>
        <v>212</v>
      </c>
      <c r="H211" s="7">
        <v>210</v>
      </c>
    </row>
    <row r="212" spans="1:8" ht="12.45" customHeight="1" x14ac:dyDescent="0.3">
      <c r="A212" s="2" t="s">
        <v>234</v>
      </c>
      <c r="B212" s="2">
        <v>54.5</v>
      </c>
      <c r="C212" s="2">
        <v>4.2</v>
      </c>
      <c r="D212" s="2">
        <v>229.05</v>
      </c>
      <c r="E212" s="6">
        <f>_xlfn.RANK.EQ(C212,C:C,0)</f>
        <v>210</v>
      </c>
      <c r="F212" s="6">
        <f>_xlfn.RANK.EQ(D212,D:D,0)</f>
        <v>219</v>
      </c>
      <c r="G212" s="2">
        <f>E212*0.7+F212*0.3</f>
        <v>212.7</v>
      </c>
      <c r="H212" s="7">
        <v>211</v>
      </c>
    </row>
    <row r="213" spans="1:8" ht="12.45" customHeight="1" x14ac:dyDescent="0.3">
      <c r="A213" s="2" t="s">
        <v>236</v>
      </c>
      <c r="B213" s="2">
        <v>52.5</v>
      </c>
      <c r="C213" s="2">
        <v>4.24</v>
      </c>
      <c r="D213" s="2">
        <v>222.6</v>
      </c>
      <c r="E213" s="6">
        <f>_xlfn.RANK.EQ(C213,C:C,0)</f>
        <v>185</v>
      </c>
      <c r="F213" s="6">
        <f>_xlfn.RANK.EQ(D213,D:D,0)</f>
        <v>282</v>
      </c>
      <c r="G213" s="2">
        <f>E213*0.7+F213*0.3</f>
        <v>214.1</v>
      </c>
      <c r="H213" s="7">
        <v>212</v>
      </c>
    </row>
    <row r="214" spans="1:8" ht="12.45" customHeight="1" x14ac:dyDescent="0.3">
      <c r="A214" s="2" t="s">
        <v>237</v>
      </c>
      <c r="B214" s="2">
        <v>50.5</v>
      </c>
      <c r="C214" s="2">
        <v>4.28</v>
      </c>
      <c r="D214" s="2">
        <v>216.25</v>
      </c>
      <c r="E214" s="6">
        <f>_xlfn.RANK.EQ(C214,C:C,0)</f>
        <v>164</v>
      </c>
      <c r="F214" s="6">
        <f>_xlfn.RANK.EQ(D214,D:D,0)</f>
        <v>339</v>
      </c>
      <c r="G214" s="2">
        <f>E214*0.7+F214*0.3</f>
        <v>216.5</v>
      </c>
      <c r="H214" s="7">
        <v>213</v>
      </c>
    </row>
    <row r="215" spans="1:8" ht="12.45" customHeight="1" x14ac:dyDescent="0.3">
      <c r="A215" s="2" t="s">
        <v>238</v>
      </c>
      <c r="B215" s="2">
        <v>51</v>
      </c>
      <c r="C215" s="2">
        <v>4.2699999999999996</v>
      </c>
      <c r="D215" s="2">
        <v>217.7</v>
      </c>
      <c r="E215" s="6">
        <f>_xlfn.RANK.EQ(C215,C:C,0)</f>
        <v>169</v>
      </c>
      <c r="F215" s="6">
        <f>_xlfn.RANK.EQ(D215,D:D,0)</f>
        <v>329</v>
      </c>
      <c r="G215" s="2">
        <f>E215*0.7+F215*0.3</f>
        <v>217</v>
      </c>
      <c r="H215" s="7">
        <v>214</v>
      </c>
    </row>
    <row r="216" spans="1:8" ht="12.45" customHeight="1" x14ac:dyDescent="0.3">
      <c r="A216" s="2" t="s">
        <v>239</v>
      </c>
      <c r="B216" s="2">
        <v>51</v>
      </c>
      <c r="C216" s="2">
        <v>4.2699999999999996</v>
      </c>
      <c r="D216" s="2">
        <v>217.6</v>
      </c>
      <c r="E216" s="6">
        <f>_xlfn.RANK.EQ(C216,C:C,0)</f>
        <v>169</v>
      </c>
      <c r="F216" s="6">
        <f>_xlfn.RANK.EQ(D216,D:D,0)</f>
        <v>331</v>
      </c>
      <c r="G216" s="2">
        <f>E216*0.7+F216*0.3</f>
        <v>217.6</v>
      </c>
      <c r="H216" s="7">
        <v>215</v>
      </c>
    </row>
    <row r="217" spans="1:8" ht="12.45" customHeight="1" x14ac:dyDescent="0.3">
      <c r="A217" s="2" t="s">
        <v>241</v>
      </c>
      <c r="B217" s="2">
        <v>54.5</v>
      </c>
      <c r="C217" s="2">
        <v>4.1900000000000004</v>
      </c>
      <c r="D217" s="2">
        <v>228.35</v>
      </c>
      <c r="E217" s="6">
        <f>_xlfn.RANK.EQ(C217,C:C,0)</f>
        <v>215</v>
      </c>
      <c r="F217" s="6">
        <f>_xlfn.RANK.EQ(D217,D:D,0)</f>
        <v>225</v>
      </c>
      <c r="G217" s="2">
        <f>E217*0.7+F217*0.3</f>
        <v>218</v>
      </c>
      <c r="H217" s="7">
        <v>216</v>
      </c>
    </row>
    <row r="218" spans="1:8" ht="12.45" customHeight="1" x14ac:dyDescent="0.3">
      <c r="A218" s="2" t="s">
        <v>243</v>
      </c>
      <c r="B218" s="2">
        <v>53.5</v>
      </c>
      <c r="C218" s="2">
        <v>4.21</v>
      </c>
      <c r="D218" s="2">
        <v>225.25</v>
      </c>
      <c r="E218" s="6">
        <f>_xlfn.RANK.EQ(C218,C:C,0)</f>
        <v>202</v>
      </c>
      <c r="F218" s="6">
        <f>_xlfn.RANK.EQ(D218,D:D,0)</f>
        <v>257</v>
      </c>
      <c r="G218" s="2">
        <f>E218*0.7+F218*0.3</f>
        <v>218.49999999999997</v>
      </c>
      <c r="H218" s="7">
        <v>217</v>
      </c>
    </row>
    <row r="219" spans="1:8" ht="12.45" customHeight="1" x14ac:dyDescent="0.3">
      <c r="A219" s="2" t="s">
        <v>244</v>
      </c>
      <c r="B219" s="2">
        <v>54</v>
      </c>
      <c r="C219" s="2">
        <v>4.2</v>
      </c>
      <c r="D219" s="2">
        <v>226.8</v>
      </c>
      <c r="E219" s="6">
        <f>_xlfn.RANK.EQ(C219,C:C,0)</f>
        <v>210</v>
      </c>
      <c r="F219" s="6">
        <f>_xlfn.RANK.EQ(D219,D:D,0)</f>
        <v>239</v>
      </c>
      <c r="G219" s="2">
        <f>E219*0.7+F219*0.3</f>
        <v>218.7</v>
      </c>
      <c r="H219" s="7">
        <v>218</v>
      </c>
    </row>
    <row r="220" spans="1:8" ht="12.45" customHeight="1" x14ac:dyDescent="0.3">
      <c r="A220" s="2" t="s">
        <v>242</v>
      </c>
      <c r="B220" s="2">
        <v>55.5</v>
      </c>
      <c r="C220" s="2">
        <v>4.17</v>
      </c>
      <c r="D220" s="2">
        <v>231.4</v>
      </c>
      <c r="E220" s="6">
        <f>_xlfn.RANK.EQ(C220,C:C,0)</f>
        <v>228</v>
      </c>
      <c r="F220" s="6">
        <f>_xlfn.RANK.EQ(D220,D:D,0)</f>
        <v>198</v>
      </c>
      <c r="G220" s="2">
        <f>E220*0.7+F220*0.3</f>
        <v>219</v>
      </c>
      <c r="H220" s="7">
        <v>219</v>
      </c>
    </row>
    <row r="221" spans="1:8" ht="12.45" customHeight="1" x14ac:dyDescent="0.3">
      <c r="A221" s="2" t="s">
        <v>245</v>
      </c>
      <c r="B221" s="2">
        <v>53.5</v>
      </c>
      <c r="C221" s="2">
        <v>4.21</v>
      </c>
      <c r="D221" s="2">
        <v>225.1</v>
      </c>
      <c r="E221" s="6">
        <f>_xlfn.RANK.EQ(C221,C:C,0)</f>
        <v>202</v>
      </c>
      <c r="F221" s="6">
        <f>_xlfn.RANK.EQ(D221,D:D,0)</f>
        <v>260</v>
      </c>
      <c r="G221" s="2">
        <f>E221*0.7+F221*0.3</f>
        <v>219.39999999999998</v>
      </c>
      <c r="H221" s="7">
        <v>220</v>
      </c>
    </row>
    <row r="222" spans="1:8" ht="12.45" customHeight="1" x14ac:dyDescent="0.3">
      <c r="A222" s="2" t="s">
        <v>246</v>
      </c>
      <c r="B222" s="2">
        <v>52</v>
      </c>
      <c r="C222" s="2">
        <v>4.24</v>
      </c>
      <c r="D222" s="2">
        <v>220.35</v>
      </c>
      <c r="E222" s="6">
        <f>_xlfn.RANK.EQ(C222,C:C,0)</f>
        <v>185</v>
      </c>
      <c r="F222" s="6">
        <f>_xlfn.RANK.EQ(D222,D:D,0)</f>
        <v>302</v>
      </c>
      <c r="G222" s="2">
        <f>E222*0.7+F222*0.3</f>
        <v>220.1</v>
      </c>
      <c r="H222" s="7">
        <v>221</v>
      </c>
    </row>
    <row r="223" spans="1:8" ht="12.45" customHeight="1" x14ac:dyDescent="0.3">
      <c r="A223" s="2" t="s">
        <v>247</v>
      </c>
      <c r="B223" s="2">
        <v>51</v>
      </c>
      <c r="C223" s="2">
        <v>4.26</v>
      </c>
      <c r="D223" s="2">
        <v>217.05</v>
      </c>
      <c r="E223" s="6">
        <f>_xlfn.RANK.EQ(C223,C:C,0)</f>
        <v>173</v>
      </c>
      <c r="F223" s="6">
        <f>_xlfn.RANK.EQ(D223,D:D,0)</f>
        <v>334</v>
      </c>
      <c r="G223" s="2">
        <f>E223*0.7+F223*0.3</f>
        <v>221.3</v>
      </c>
      <c r="H223" s="7">
        <v>222</v>
      </c>
    </row>
    <row r="224" spans="1:8" ht="12.45" customHeight="1" x14ac:dyDescent="0.3">
      <c r="A224" s="2" t="s">
        <v>249</v>
      </c>
      <c r="B224" s="2">
        <v>56</v>
      </c>
      <c r="C224" s="2">
        <v>4.1500000000000004</v>
      </c>
      <c r="D224" s="2">
        <v>232.55</v>
      </c>
      <c r="E224" s="6">
        <f>_xlfn.RANK.EQ(C224,C:C,0)</f>
        <v>239</v>
      </c>
      <c r="F224" s="6">
        <f>_xlfn.RANK.EQ(D224,D:D,0)</f>
        <v>186</v>
      </c>
      <c r="G224" s="2">
        <f>E224*0.7+F224*0.3</f>
        <v>223.09999999999997</v>
      </c>
      <c r="H224" s="7">
        <v>223</v>
      </c>
    </row>
    <row r="225" spans="1:8" ht="12.45" customHeight="1" x14ac:dyDescent="0.3">
      <c r="A225" s="2" t="s">
        <v>248</v>
      </c>
      <c r="B225" s="2">
        <v>58</v>
      </c>
      <c r="C225" s="2">
        <v>4.1100000000000003</v>
      </c>
      <c r="D225" s="2">
        <v>238.55</v>
      </c>
      <c r="E225" s="6">
        <f>_xlfn.RANK.EQ(C225,C:C,0)</f>
        <v>259</v>
      </c>
      <c r="F225" s="6">
        <f>_xlfn.RANK.EQ(D225,D:D,0)</f>
        <v>140</v>
      </c>
      <c r="G225" s="2">
        <f>E225*0.7+F225*0.3</f>
        <v>223.29999999999998</v>
      </c>
      <c r="H225" s="7">
        <v>224</v>
      </c>
    </row>
    <row r="226" spans="1:8" ht="12.45" customHeight="1" x14ac:dyDescent="0.3">
      <c r="A226" s="2" t="s">
        <v>250</v>
      </c>
      <c r="B226" s="2">
        <v>55</v>
      </c>
      <c r="C226" s="2">
        <v>4.17</v>
      </c>
      <c r="D226" s="2">
        <v>229.15</v>
      </c>
      <c r="E226" s="6">
        <f>_xlfn.RANK.EQ(C226,C:C,0)</f>
        <v>228</v>
      </c>
      <c r="F226" s="6">
        <f>_xlfn.RANK.EQ(D226,D:D,0)</f>
        <v>218</v>
      </c>
      <c r="G226" s="2">
        <f>E226*0.7+F226*0.3</f>
        <v>225</v>
      </c>
      <c r="H226" s="7">
        <v>225</v>
      </c>
    </row>
    <row r="227" spans="1:8" ht="12.45" customHeight="1" x14ac:dyDescent="0.3">
      <c r="A227" s="2" t="s">
        <v>251</v>
      </c>
      <c r="B227" s="2">
        <v>58.5</v>
      </c>
      <c r="C227" s="2">
        <v>4.0999999999999996</v>
      </c>
      <c r="D227" s="2">
        <v>239.75</v>
      </c>
      <c r="E227" s="6">
        <f>_xlfn.RANK.EQ(C227,C:C,0)</f>
        <v>268</v>
      </c>
      <c r="F227" s="6">
        <f>_xlfn.RANK.EQ(D227,D:D,0)</f>
        <v>133</v>
      </c>
      <c r="G227" s="2">
        <f>E227*0.7+F227*0.3</f>
        <v>227.5</v>
      </c>
      <c r="H227" s="7">
        <v>226</v>
      </c>
    </row>
    <row r="228" spans="1:8" ht="12.45" customHeight="1" x14ac:dyDescent="0.3">
      <c r="A228" s="2" t="s">
        <v>253</v>
      </c>
      <c r="B228" s="2">
        <v>55.5</v>
      </c>
      <c r="C228" s="2">
        <v>4.1500000000000004</v>
      </c>
      <c r="D228" s="2">
        <v>230.6</v>
      </c>
      <c r="E228" s="6">
        <f>_xlfn.RANK.EQ(C228,C:C,0)</f>
        <v>239</v>
      </c>
      <c r="F228" s="6">
        <f>_xlfn.RANK.EQ(D228,D:D,0)</f>
        <v>202</v>
      </c>
      <c r="G228" s="2">
        <f>E228*0.7+F228*0.3</f>
        <v>227.89999999999998</v>
      </c>
      <c r="H228" s="7">
        <v>227</v>
      </c>
    </row>
    <row r="229" spans="1:8" ht="12.45" customHeight="1" x14ac:dyDescent="0.3">
      <c r="A229" s="2" t="s">
        <v>252</v>
      </c>
      <c r="B229" s="2">
        <v>55</v>
      </c>
      <c r="C229" s="2">
        <v>4.16</v>
      </c>
      <c r="D229" s="2">
        <v>229</v>
      </c>
      <c r="E229" s="6">
        <f>_xlfn.RANK.EQ(C229,C:C,0)</f>
        <v>234</v>
      </c>
      <c r="F229" s="6">
        <f>_xlfn.RANK.EQ(D229,D:D,0)</f>
        <v>220</v>
      </c>
      <c r="G229" s="2">
        <f>E229*0.7+F229*0.3</f>
        <v>229.79999999999998</v>
      </c>
      <c r="H229" s="7">
        <v>228</v>
      </c>
    </row>
    <row r="230" spans="1:8" ht="12.45" customHeight="1" x14ac:dyDescent="0.3">
      <c r="A230" s="2" t="s">
        <v>255</v>
      </c>
      <c r="B230" s="2">
        <v>56</v>
      </c>
      <c r="C230" s="2">
        <v>4.1399999999999997</v>
      </c>
      <c r="D230" s="2">
        <v>231.8</v>
      </c>
      <c r="E230" s="6">
        <f>_xlfn.RANK.EQ(C230,C:C,0)</f>
        <v>246</v>
      </c>
      <c r="F230" s="6">
        <f>_xlfn.RANK.EQ(D230,D:D,0)</f>
        <v>194</v>
      </c>
      <c r="G230" s="2">
        <f>E230*0.7+F230*0.3</f>
        <v>230.39999999999998</v>
      </c>
      <c r="H230" s="7">
        <v>229</v>
      </c>
    </row>
    <row r="231" spans="1:8" ht="12.45" customHeight="1" x14ac:dyDescent="0.3">
      <c r="A231" s="2" t="s">
        <v>254</v>
      </c>
      <c r="B231" s="2">
        <v>54.5</v>
      </c>
      <c r="C231" s="2">
        <v>4.17</v>
      </c>
      <c r="D231" s="2">
        <v>227</v>
      </c>
      <c r="E231" s="6">
        <f>_xlfn.RANK.EQ(C231,C:C,0)</f>
        <v>228</v>
      </c>
      <c r="F231" s="6">
        <f>_xlfn.RANK.EQ(D231,D:D,0)</f>
        <v>237</v>
      </c>
      <c r="G231" s="2">
        <f>E231*0.7+F231*0.3</f>
        <v>230.7</v>
      </c>
      <c r="H231" s="7">
        <v>230</v>
      </c>
    </row>
    <row r="232" spans="1:8" ht="12.45" customHeight="1" x14ac:dyDescent="0.3">
      <c r="A232" s="2" t="s">
        <v>256</v>
      </c>
      <c r="B232" s="2">
        <v>58</v>
      </c>
      <c r="C232" s="2">
        <v>4.0999999999999996</v>
      </c>
      <c r="D232" s="2">
        <v>237.7</v>
      </c>
      <c r="E232" s="6">
        <f>_xlfn.RANK.EQ(C232,C:C,0)</f>
        <v>268</v>
      </c>
      <c r="F232" s="6">
        <f>_xlfn.RANK.EQ(D232,D:D,0)</f>
        <v>150</v>
      </c>
      <c r="G232" s="2">
        <f>E232*0.7+F232*0.3</f>
        <v>232.6</v>
      </c>
      <c r="H232" s="7">
        <v>231</v>
      </c>
    </row>
    <row r="233" spans="1:8" ht="12.45" customHeight="1" x14ac:dyDescent="0.3">
      <c r="A233" s="2" t="s">
        <v>257</v>
      </c>
      <c r="B233" s="2">
        <v>55.5</v>
      </c>
      <c r="C233" s="2">
        <v>4.1399999999999997</v>
      </c>
      <c r="D233" s="2">
        <v>229.85</v>
      </c>
      <c r="E233" s="6">
        <f>_xlfn.RANK.EQ(C233,C:C,0)</f>
        <v>246</v>
      </c>
      <c r="F233" s="6">
        <f>_xlfn.RANK.EQ(D233,D:D,0)</f>
        <v>211</v>
      </c>
      <c r="G233" s="2">
        <f>E233*0.7+F233*0.3</f>
        <v>235.5</v>
      </c>
      <c r="H233" s="7">
        <v>232</v>
      </c>
    </row>
    <row r="234" spans="1:8" ht="12.45" customHeight="1" x14ac:dyDescent="0.3">
      <c r="A234" s="2" t="s">
        <v>259</v>
      </c>
      <c r="B234" s="2">
        <v>54.5</v>
      </c>
      <c r="C234" s="2">
        <v>4.16</v>
      </c>
      <c r="D234" s="2">
        <v>226.75</v>
      </c>
      <c r="E234" s="6">
        <f>_xlfn.RANK.EQ(C234,C:C,0)</f>
        <v>234</v>
      </c>
      <c r="F234" s="6">
        <f>_xlfn.RANK.EQ(D234,D:D,0)</f>
        <v>240</v>
      </c>
      <c r="G234" s="2">
        <f>E234*0.7+F234*0.3</f>
        <v>235.79999999999998</v>
      </c>
      <c r="H234" s="7">
        <v>233</v>
      </c>
    </row>
    <row r="235" spans="1:8" ht="12.45" customHeight="1" x14ac:dyDescent="0.3">
      <c r="A235" s="2" t="s">
        <v>258</v>
      </c>
      <c r="B235" s="2">
        <v>56</v>
      </c>
      <c r="C235" s="2">
        <v>4.13</v>
      </c>
      <c r="D235" s="2">
        <v>231.55</v>
      </c>
      <c r="E235" s="6">
        <f>_xlfn.RANK.EQ(C235,C:C,0)</f>
        <v>253</v>
      </c>
      <c r="F235" s="6">
        <f>_xlfn.RANK.EQ(D235,D:D,0)</f>
        <v>196</v>
      </c>
      <c r="G235" s="2">
        <f>E235*0.7+F235*0.3</f>
        <v>235.89999999999998</v>
      </c>
      <c r="H235" s="7">
        <v>234</v>
      </c>
    </row>
    <row r="236" spans="1:8" ht="12.45" customHeight="1" x14ac:dyDescent="0.3">
      <c r="A236" s="2" t="s">
        <v>261</v>
      </c>
      <c r="B236" s="2">
        <v>53</v>
      </c>
      <c r="C236" s="2">
        <v>4.1900000000000004</v>
      </c>
      <c r="D236" s="2">
        <v>222.3</v>
      </c>
      <c r="E236" s="6">
        <f>_xlfn.RANK.EQ(C236,C:C,0)</f>
        <v>215</v>
      </c>
      <c r="F236" s="6">
        <f>_xlfn.RANK.EQ(D236,D:D,0)</f>
        <v>285</v>
      </c>
      <c r="G236" s="2">
        <f>E236*0.7+F236*0.3</f>
        <v>236</v>
      </c>
      <c r="H236" s="7">
        <v>235</v>
      </c>
    </row>
    <row r="237" spans="1:8" ht="12.45" customHeight="1" x14ac:dyDescent="0.3">
      <c r="A237" s="2" t="s">
        <v>262</v>
      </c>
      <c r="B237" s="2">
        <v>52.5</v>
      </c>
      <c r="C237" s="2">
        <v>4.2</v>
      </c>
      <c r="D237" s="2">
        <v>220.65</v>
      </c>
      <c r="E237" s="6">
        <f>_xlfn.RANK.EQ(C237,C:C,0)</f>
        <v>210</v>
      </c>
      <c r="F237" s="6">
        <f>_xlfn.RANK.EQ(D237,D:D,0)</f>
        <v>298</v>
      </c>
      <c r="G237" s="2">
        <f>E237*0.7+F237*0.3</f>
        <v>236.39999999999998</v>
      </c>
      <c r="H237" s="7">
        <v>236</v>
      </c>
    </row>
    <row r="238" spans="1:8" ht="12.45" customHeight="1" x14ac:dyDescent="0.3">
      <c r="A238" s="2" t="s">
        <v>263</v>
      </c>
      <c r="B238" s="2">
        <v>51</v>
      </c>
      <c r="C238" s="2">
        <v>4.2300000000000004</v>
      </c>
      <c r="D238" s="2">
        <v>215.55</v>
      </c>
      <c r="E238" s="6">
        <f>_xlfn.RANK.EQ(C238,C:C,0)</f>
        <v>190</v>
      </c>
      <c r="F238" s="6">
        <f>_xlfn.RANK.EQ(D238,D:D,0)</f>
        <v>345</v>
      </c>
      <c r="G238" s="2">
        <f>E238*0.7+F238*0.3</f>
        <v>236.5</v>
      </c>
      <c r="H238" s="7">
        <v>237</v>
      </c>
    </row>
    <row r="239" spans="1:8" ht="12.45" customHeight="1" x14ac:dyDescent="0.3">
      <c r="A239" s="2" t="s">
        <v>260</v>
      </c>
      <c r="B239" s="2">
        <v>54</v>
      </c>
      <c r="C239" s="2">
        <v>4.17</v>
      </c>
      <c r="D239" s="2">
        <v>225.25</v>
      </c>
      <c r="E239" s="6">
        <f>_xlfn.RANK.EQ(C239,C:C,0)</f>
        <v>228</v>
      </c>
      <c r="F239" s="6">
        <f>_xlfn.RANK.EQ(D239,D:D,0)</f>
        <v>257</v>
      </c>
      <c r="G239" s="2">
        <f>E239*0.7+F239*0.3</f>
        <v>236.7</v>
      </c>
      <c r="H239" s="7">
        <v>238</v>
      </c>
    </row>
    <row r="240" spans="1:8" ht="12.45" customHeight="1" x14ac:dyDescent="0.3">
      <c r="A240" s="2" t="s">
        <v>264</v>
      </c>
      <c r="B240" s="2">
        <v>50.5</v>
      </c>
      <c r="C240" s="2">
        <v>4.24</v>
      </c>
      <c r="D240" s="2">
        <v>214.35</v>
      </c>
      <c r="E240" s="6">
        <f>_xlfn.RANK.EQ(C240,C:C,0)</f>
        <v>185</v>
      </c>
      <c r="F240" s="6">
        <f>_xlfn.RANK.EQ(D240,D:D,0)</f>
        <v>358</v>
      </c>
      <c r="G240" s="2">
        <f>E240*0.7+F240*0.3</f>
        <v>236.89999999999998</v>
      </c>
      <c r="H240" s="7">
        <v>239</v>
      </c>
    </row>
    <row r="241" spans="1:8" ht="12.45" customHeight="1" x14ac:dyDescent="0.3">
      <c r="A241" s="2" t="s">
        <v>265</v>
      </c>
      <c r="B241" s="2">
        <v>54.5</v>
      </c>
      <c r="C241" s="2">
        <v>4.16</v>
      </c>
      <c r="D241" s="2">
        <v>226.5</v>
      </c>
      <c r="E241" s="6">
        <f>_xlfn.RANK.EQ(C241,C:C,0)</f>
        <v>234</v>
      </c>
      <c r="F241" s="6">
        <f>_xlfn.RANK.EQ(D241,D:D,0)</f>
        <v>244</v>
      </c>
      <c r="G241" s="2">
        <f>E241*0.7+F241*0.3</f>
        <v>237</v>
      </c>
      <c r="H241" s="7">
        <v>240</v>
      </c>
    </row>
    <row r="242" spans="1:8" ht="12.45" customHeight="1" x14ac:dyDescent="0.3">
      <c r="A242" s="2" t="s">
        <v>266</v>
      </c>
      <c r="B242" s="2">
        <v>58</v>
      </c>
      <c r="C242" s="2">
        <v>4.09</v>
      </c>
      <c r="D242" s="2">
        <v>237.15</v>
      </c>
      <c r="E242" s="6">
        <f>_xlfn.RANK.EQ(C242,C:C,0)</f>
        <v>274</v>
      </c>
      <c r="F242" s="6">
        <f>_xlfn.RANK.EQ(D242,D:D,0)</f>
        <v>156</v>
      </c>
      <c r="G242" s="2">
        <f>E242*0.7+F242*0.3</f>
        <v>238.59999999999997</v>
      </c>
      <c r="H242" s="7">
        <v>241</v>
      </c>
    </row>
    <row r="243" spans="1:8" ht="12.45" customHeight="1" x14ac:dyDescent="0.3">
      <c r="A243" s="2" t="s">
        <v>270</v>
      </c>
      <c r="B243" s="2">
        <v>55</v>
      </c>
      <c r="C243" s="2">
        <v>4.1399999999999997</v>
      </c>
      <c r="D243" s="2">
        <v>227.5</v>
      </c>
      <c r="E243" s="6">
        <f>_xlfn.RANK.EQ(C243,C:C,0)</f>
        <v>246</v>
      </c>
      <c r="F243" s="6">
        <f>_xlfn.RANK.EQ(D243,D:D,0)</f>
        <v>234</v>
      </c>
      <c r="G243" s="2">
        <f>E243*0.7+F243*0.3</f>
        <v>242.39999999999998</v>
      </c>
      <c r="H243" s="7">
        <v>242</v>
      </c>
    </row>
    <row r="244" spans="1:8" ht="12.45" customHeight="1" x14ac:dyDescent="0.3">
      <c r="A244" s="2" t="s">
        <v>271</v>
      </c>
      <c r="B244" s="2">
        <v>55</v>
      </c>
      <c r="C244" s="2">
        <v>4.1399999999999997</v>
      </c>
      <c r="D244" s="2">
        <v>227.45</v>
      </c>
      <c r="E244" s="6">
        <f>_xlfn.RANK.EQ(C244,C:C,0)</f>
        <v>246</v>
      </c>
      <c r="F244" s="6">
        <f>_xlfn.RANK.EQ(D244,D:D,0)</f>
        <v>235</v>
      </c>
      <c r="G244" s="2">
        <f>E244*0.7+F244*0.3</f>
        <v>242.7</v>
      </c>
      <c r="H244" s="7">
        <v>243</v>
      </c>
    </row>
    <row r="245" spans="1:8" ht="12.45" customHeight="1" x14ac:dyDescent="0.3">
      <c r="A245" s="2" t="s">
        <v>267</v>
      </c>
      <c r="B245" s="2">
        <v>56</v>
      </c>
      <c r="C245" s="2">
        <v>4.1100000000000003</v>
      </c>
      <c r="D245" s="2">
        <v>230.4</v>
      </c>
      <c r="E245" s="6">
        <f>_xlfn.RANK.EQ(C245,C:C,0)</f>
        <v>259</v>
      </c>
      <c r="F245" s="6">
        <f>_xlfn.RANK.EQ(D245,D:D,0)</f>
        <v>205</v>
      </c>
      <c r="G245" s="2">
        <f>E245*0.7+F245*0.3</f>
        <v>242.79999999999998</v>
      </c>
      <c r="H245" s="7">
        <v>244</v>
      </c>
    </row>
    <row r="246" spans="1:8" ht="12.45" customHeight="1" x14ac:dyDescent="0.3">
      <c r="A246" s="2" t="s">
        <v>268</v>
      </c>
      <c r="B246" s="2">
        <v>50.5</v>
      </c>
      <c r="C246" s="2">
        <v>4.2300000000000004</v>
      </c>
      <c r="D246" s="2">
        <v>213.4</v>
      </c>
      <c r="E246" s="6">
        <f>_xlfn.RANK.EQ(C246,C:C,0)</f>
        <v>190</v>
      </c>
      <c r="F246" s="6">
        <f>_xlfn.RANK.EQ(D246,D:D,0)</f>
        <v>366</v>
      </c>
      <c r="G246" s="2">
        <f>E246*0.7+F246*0.3</f>
        <v>242.8</v>
      </c>
      <c r="H246" s="7">
        <v>244</v>
      </c>
    </row>
    <row r="247" spans="1:8" ht="12.45" customHeight="1" x14ac:dyDescent="0.3">
      <c r="A247" s="2" t="s">
        <v>269</v>
      </c>
      <c r="B247" s="2">
        <v>56</v>
      </c>
      <c r="C247" s="2">
        <v>4.1100000000000003</v>
      </c>
      <c r="D247" s="2">
        <v>230.1</v>
      </c>
      <c r="E247" s="6">
        <f>_xlfn.RANK.EQ(C247,C:C,0)</f>
        <v>259</v>
      </c>
      <c r="F247" s="6">
        <f>_xlfn.RANK.EQ(D247,D:D,0)</f>
        <v>208</v>
      </c>
      <c r="G247" s="2">
        <f>E247*0.7+F247*0.3</f>
        <v>243.7</v>
      </c>
      <c r="H247" s="7">
        <v>246</v>
      </c>
    </row>
    <row r="248" spans="1:8" ht="12.45" customHeight="1" x14ac:dyDescent="0.3">
      <c r="A248" s="2" t="s">
        <v>272</v>
      </c>
      <c r="B248" s="2">
        <v>56</v>
      </c>
      <c r="C248" s="2">
        <v>4.1100000000000003</v>
      </c>
      <c r="D248" s="2">
        <v>230</v>
      </c>
      <c r="E248" s="6">
        <f>_xlfn.RANK.EQ(C248,C:C,0)</f>
        <v>259</v>
      </c>
      <c r="F248" s="6">
        <f>_xlfn.RANK.EQ(D248,D:D,0)</f>
        <v>209</v>
      </c>
      <c r="G248" s="2">
        <f>E248*0.7+F248*0.3</f>
        <v>243.99999999999997</v>
      </c>
      <c r="H248" s="7">
        <v>247</v>
      </c>
    </row>
    <row r="249" spans="1:8" ht="12.45" customHeight="1" x14ac:dyDescent="0.3">
      <c r="A249" s="2" t="s">
        <v>273</v>
      </c>
      <c r="B249" s="2">
        <v>55.5</v>
      </c>
      <c r="C249" s="2">
        <v>4.12</v>
      </c>
      <c r="D249" s="2">
        <v>228.65</v>
      </c>
      <c r="E249" s="6">
        <f>_xlfn.RANK.EQ(C249,C:C,0)</f>
        <v>255</v>
      </c>
      <c r="F249" s="6">
        <f>_xlfn.RANK.EQ(D249,D:D,0)</f>
        <v>224</v>
      </c>
      <c r="G249" s="2">
        <f>E249*0.7+F249*0.3</f>
        <v>245.7</v>
      </c>
      <c r="H249" s="7">
        <v>248</v>
      </c>
    </row>
    <row r="250" spans="1:8" ht="12.45" customHeight="1" x14ac:dyDescent="0.3">
      <c r="A250" s="2" t="s">
        <v>274</v>
      </c>
      <c r="B250" s="2">
        <v>58</v>
      </c>
      <c r="C250" s="2">
        <v>4.07</v>
      </c>
      <c r="D250" s="2">
        <v>236.25</v>
      </c>
      <c r="E250" s="6">
        <f>_xlfn.RANK.EQ(C250,C:C,0)</f>
        <v>284</v>
      </c>
      <c r="F250" s="6">
        <f>_xlfn.RANK.EQ(D250,D:D,0)</f>
        <v>161</v>
      </c>
      <c r="G250" s="2">
        <f>E250*0.7+F250*0.3</f>
        <v>247.09999999999997</v>
      </c>
      <c r="H250" s="7">
        <v>249</v>
      </c>
    </row>
    <row r="251" spans="1:8" ht="12.45" customHeight="1" x14ac:dyDescent="0.3">
      <c r="A251" s="2" t="s">
        <v>275</v>
      </c>
      <c r="B251" s="2">
        <v>48</v>
      </c>
      <c r="C251" s="2">
        <v>4.26</v>
      </c>
      <c r="D251" s="2">
        <v>204.5</v>
      </c>
      <c r="E251" s="6">
        <f>_xlfn.RANK.EQ(C251,C:C,0)</f>
        <v>173</v>
      </c>
      <c r="F251" s="6">
        <f>_xlfn.RANK.EQ(D251,D:D,0)</f>
        <v>429</v>
      </c>
      <c r="G251" s="2">
        <f>E251*0.7+F251*0.3</f>
        <v>249.79999999999998</v>
      </c>
      <c r="H251" s="7">
        <v>250</v>
      </c>
    </row>
    <row r="252" spans="1:8" ht="12.45" customHeight="1" x14ac:dyDescent="0.3">
      <c r="A252" s="2" t="s">
        <v>276</v>
      </c>
      <c r="B252" s="2">
        <v>58.5</v>
      </c>
      <c r="C252" s="2">
        <v>4.0599999999999996</v>
      </c>
      <c r="D252" s="2">
        <v>237.25</v>
      </c>
      <c r="E252" s="6">
        <f>_xlfn.RANK.EQ(C252,C:C,0)</f>
        <v>293</v>
      </c>
      <c r="F252" s="6">
        <f>_xlfn.RANK.EQ(D252,D:D,0)</f>
        <v>155</v>
      </c>
      <c r="G252" s="2">
        <f>E252*0.7+F252*0.3</f>
        <v>251.6</v>
      </c>
      <c r="H252" s="7">
        <v>251</v>
      </c>
    </row>
    <row r="253" spans="1:8" ht="12.45" customHeight="1" x14ac:dyDescent="0.3">
      <c r="A253" s="2" t="s">
        <v>278</v>
      </c>
      <c r="B253" s="2">
        <v>53.5</v>
      </c>
      <c r="C253" s="2">
        <v>4.1500000000000004</v>
      </c>
      <c r="D253" s="2">
        <v>221.9</v>
      </c>
      <c r="E253" s="6">
        <f>_xlfn.RANK.EQ(C253,C:C,0)</f>
        <v>239</v>
      </c>
      <c r="F253" s="6">
        <f>_xlfn.RANK.EQ(D253,D:D,0)</f>
        <v>287</v>
      </c>
      <c r="G253" s="2">
        <f>E253*0.7+F253*0.3</f>
        <v>253.39999999999998</v>
      </c>
      <c r="H253" s="7">
        <v>252</v>
      </c>
    </row>
    <row r="254" spans="1:8" ht="12.45" customHeight="1" x14ac:dyDescent="0.3">
      <c r="A254" s="2" t="s">
        <v>277</v>
      </c>
      <c r="B254" s="2">
        <v>53</v>
      </c>
      <c r="C254" s="2">
        <v>4.16</v>
      </c>
      <c r="D254" s="2">
        <v>220.5</v>
      </c>
      <c r="E254" s="6">
        <f>_xlfn.RANK.EQ(C254,C:C,0)</f>
        <v>234</v>
      </c>
      <c r="F254" s="6">
        <f>_xlfn.RANK.EQ(D254,D:D,0)</f>
        <v>299</v>
      </c>
      <c r="G254" s="2">
        <f>E254*0.7+F254*0.3</f>
        <v>253.5</v>
      </c>
      <c r="H254" s="7">
        <v>253</v>
      </c>
    </row>
    <row r="255" spans="1:8" ht="12.45" customHeight="1" x14ac:dyDescent="0.3">
      <c r="A255" s="2" t="s">
        <v>279</v>
      </c>
      <c r="B255" s="2">
        <v>54</v>
      </c>
      <c r="C255" s="2">
        <v>4.1399999999999997</v>
      </c>
      <c r="D255" s="2">
        <v>223.65</v>
      </c>
      <c r="E255" s="6">
        <f>_xlfn.RANK.EQ(C255,C:C,0)</f>
        <v>246</v>
      </c>
      <c r="F255" s="6">
        <f>_xlfn.RANK.EQ(D255,D:D,0)</f>
        <v>276</v>
      </c>
      <c r="G255" s="2">
        <f>E255*0.7+F255*0.3</f>
        <v>255</v>
      </c>
      <c r="H255" s="7">
        <v>254</v>
      </c>
    </row>
    <row r="256" spans="1:8" ht="12.45" customHeight="1" x14ac:dyDescent="0.3">
      <c r="A256" s="2" t="s">
        <v>280</v>
      </c>
      <c r="B256" s="2">
        <v>49</v>
      </c>
      <c r="C256" s="2">
        <v>4.2300000000000004</v>
      </c>
      <c r="D256" s="2">
        <v>207.25</v>
      </c>
      <c r="E256" s="6">
        <f>_xlfn.RANK.EQ(C256,C:C,0)</f>
        <v>190</v>
      </c>
      <c r="F256" s="6">
        <f>_xlfn.RANK.EQ(D256,D:D,0)</f>
        <v>413</v>
      </c>
      <c r="G256" s="2">
        <f>E256*0.7+F256*0.3</f>
        <v>256.89999999999998</v>
      </c>
      <c r="H256" s="7">
        <v>255</v>
      </c>
    </row>
    <row r="257" spans="1:8" ht="12.45" customHeight="1" x14ac:dyDescent="0.3">
      <c r="A257" s="2" t="s">
        <v>281</v>
      </c>
      <c r="B257" s="2">
        <v>55.5</v>
      </c>
      <c r="C257" s="2">
        <v>4.0999999999999996</v>
      </c>
      <c r="D257" s="2">
        <v>227.7</v>
      </c>
      <c r="E257" s="6">
        <f>_xlfn.RANK.EQ(C257,C:C,0)</f>
        <v>268</v>
      </c>
      <c r="F257" s="6">
        <f>_xlfn.RANK.EQ(D257,D:D,0)</f>
        <v>233</v>
      </c>
      <c r="G257" s="2">
        <f>E257*0.7+F257*0.3</f>
        <v>257.5</v>
      </c>
      <c r="H257" s="7">
        <v>256</v>
      </c>
    </row>
    <row r="258" spans="1:8" ht="12.45" customHeight="1" x14ac:dyDescent="0.3">
      <c r="A258" s="2" t="s">
        <v>282</v>
      </c>
      <c r="B258" s="2">
        <v>51</v>
      </c>
      <c r="C258" s="2">
        <v>4.1900000000000004</v>
      </c>
      <c r="D258" s="2">
        <v>213.55</v>
      </c>
      <c r="E258" s="6">
        <f>_xlfn.RANK.EQ(C258,C:C,0)</f>
        <v>215</v>
      </c>
      <c r="F258" s="6">
        <f>_xlfn.RANK.EQ(D258,D:D,0)</f>
        <v>362</v>
      </c>
      <c r="G258" s="2">
        <f>E258*0.7+F258*0.3</f>
        <v>259.10000000000002</v>
      </c>
      <c r="H258" s="7">
        <v>257</v>
      </c>
    </row>
    <row r="259" spans="1:8" ht="12.45" customHeight="1" x14ac:dyDescent="0.3">
      <c r="A259" s="2" t="s">
        <v>283</v>
      </c>
      <c r="B259" s="2">
        <v>49.5</v>
      </c>
      <c r="C259" s="2">
        <v>4.21</v>
      </c>
      <c r="D259" s="2">
        <v>208.35</v>
      </c>
      <c r="E259" s="6">
        <f>_xlfn.RANK.EQ(C259,C:C,0)</f>
        <v>202</v>
      </c>
      <c r="F259" s="6">
        <f>_xlfn.RANK.EQ(D259,D:D,0)</f>
        <v>406</v>
      </c>
      <c r="G259" s="2">
        <f>E259*0.7+F259*0.3</f>
        <v>263.2</v>
      </c>
      <c r="H259" s="7">
        <v>258</v>
      </c>
    </row>
    <row r="260" spans="1:8" ht="12.45" customHeight="1" x14ac:dyDescent="0.3">
      <c r="A260" s="2" t="s">
        <v>284</v>
      </c>
      <c r="B260" s="2">
        <v>55.5</v>
      </c>
      <c r="C260" s="2">
        <v>4.08</v>
      </c>
      <c r="D260" s="2">
        <v>226.7</v>
      </c>
      <c r="E260" s="6">
        <f>_xlfn.RANK.EQ(C260,C:C,0)</f>
        <v>277</v>
      </c>
      <c r="F260" s="6">
        <f>_xlfn.RANK.EQ(D260,D:D,0)</f>
        <v>241</v>
      </c>
      <c r="G260" s="2">
        <f>E260*0.7+F260*0.3</f>
        <v>266.2</v>
      </c>
      <c r="H260" s="7">
        <v>259</v>
      </c>
    </row>
    <row r="261" spans="1:8" ht="12.45" customHeight="1" x14ac:dyDescent="0.3">
      <c r="A261" s="2" t="s">
        <v>285</v>
      </c>
      <c r="B261" s="2">
        <v>55.5</v>
      </c>
      <c r="C261" s="2">
        <v>4.08</v>
      </c>
      <c r="D261" s="2">
        <v>226.65</v>
      </c>
      <c r="E261" s="6">
        <f>_xlfn.RANK.EQ(C261,C:C,0)</f>
        <v>277</v>
      </c>
      <c r="F261" s="6">
        <f>_xlfn.RANK.EQ(D261,D:D,0)</f>
        <v>243</v>
      </c>
      <c r="G261" s="2">
        <f>E261*0.7+F261*0.3</f>
        <v>266.79999999999995</v>
      </c>
      <c r="H261" s="7">
        <v>260</v>
      </c>
    </row>
    <row r="262" spans="1:8" ht="12.45" customHeight="1" x14ac:dyDescent="0.3">
      <c r="A262" s="2" t="s">
        <v>286</v>
      </c>
      <c r="B262" s="2">
        <v>54</v>
      </c>
      <c r="C262" s="2">
        <v>4.1100000000000003</v>
      </c>
      <c r="D262" s="2">
        <v>221.9</v>
      </c>
      <c r="E262" s="6">
        <f>_xlfn.RANK.EQ(C262,C:C,0)</f>
        <v>259</v>
      </c>
      <c r="F262" s="6">
        <f>_xlfn.RANK.EQ(D262,D:D,0)</f>
        <v>287</v>
      </c>
      <c r="G262" s="2">
        <f>E262*0.7+F262*0.3</f>
        <v>267.39999999999998</v>
      </c>
      <c r="H262" s="7">
        <v>261</v>
      </c>
    </row>
    <row r="263" spans="1:8" ht="12.45" customHeight="1" x14ac:dyDescent="0.3">
      <c r="A263" s="2" t="s">
        <v>287</v>
      </c>
      <c r="B263" s="2">
        <v>56</v>
      </c>
      <c r="C263" s="2">
        <v>4.07</v>
      </c>
      <c r="D263" s="2">
        <v>227.85</v>
      </c>
      <c r="E263" s="6">
        <f>_xlfn.RANK.EQ(C263,C:C,0)</f>
        <v>284</v>
      </c>
      <c r="F263" s="6">
        <f>_xlfn.RANK.EQ(D263,D:D,0)</f>
        <v>230</v>
      </c>
      <c r="G263" s="2">
        <f>E263*0.7+F263*0.3</f>
        <v>267.79999999999995</v>
      </c>
      <c r="H263" s="7">
        <v>262</v>
      </c>
    </row>
    <row r="264" spans="1:8" ht="12.45" customHeight="1" x14ac:dyDescent="0.3">
      <c r="A264" s="2" t="s">
        <v>289</v>
      </c>
      <c r="B264" s="2">
        <v>50.5</v>
      </c>
      <c r="C264" s="2">
        <v>4.18</v>
      </c>
      <c r="D264" s="2">
        <v>211.15</v>
      </c>
      <c r="E264" s="6">
        <f>_xlfn.RANK.EQ(C264,C:C,0)</f>
        <v>221</v>
      </c>
      <c r="F264" s="6">
        <f>_xlfn.RANK.EQ(D264,D:D,0)</f>
        <v>379</v>
      </c>
      <c r="G264" s="2">
        <f>E264*0.7+F264*0.3</f>
        <v>268.39999999999998</v>
      </c>
      <c r="H264" s="7">
        <v>263</v>
      </c>
    </row>
    <row r="265" spans="1:8" ht="12.45" customHeight="1" x14ac:dyDescent="0.3">
      <c r="A265" s="2" t="s">
        <v>288</v>
      </c>
      <c r="B265" s="2">
        <v>57.5</v>
      </c>
      <c r="C265" s="2">
        <v>4.04</v>
      </c>
      <c r="D265" s="2">
        <v>232.1</v>
      </c>
      <c r="E265" s="6">
        <f>_xlfn.RANK.EQ(C265,C:C,0)</f>
        <v>302</v>
      </c>
      <c r="F265" s="6">
        <f>_xlfn.RANK.EQ(D265,D:D,0)</f>
        <v>192</v>
      </c>
      <c r="G265" s="2">
        <f>E265*0.7+F265*0.3</f>
        <v>269</v>
      </c>
      <c r="H265" s="7">
        <v>264</v>
      </c>
    </row>
    <row r="266" spans="1:8" ht="12.45" customHeight="1" x14ac:dyDescent="0.3">
      <c r="A266" s="2" t="s">
        <v>290</v>
      </c>
      <c r="B266" s="2">
        <v>53.5</v>
      </c>
      <c r="C266" s="2">
        <v>4.12</v>
      </c>
      <c r="D266" s="2">
        <v>220.3</v>
      </c>
      <c r="E266" s="6">
        <f>_xlfn.RANK.EQ(C266,C:C,0)</f>
        <v>255</v>
      </c>
      <c r="F266" s="6">
        <f>_xlfn.RANK.EQ(D266,D:D,0)</f>
        <v>304</v>
      </c>
      <c r="G266" s="2">
        <f>E266*0.7+F266*0.3</f>
        <v>269.7</v>
      </c>
      <c r="H266" s="7">
        <v>265</v>
      </c>
    </row>
    <row r="267" spans="1:8" ht="12.45" customHeight="1" x14ac:dyDescent="0.3">
      <c r="A267" s="2" t="s">
        <v>292</v>
      </c>
      <c r="B267" s="2">
        <v>53</v>
      </c>
      <c r="C267" s="2">
        <v>4.13</v>
      </c>
      <c r="D267" s="2">
        <v>219</v>
      </c>
      <c r="E267" s="6">
        <f>_xlfn.RANK.EQ(C267,C:C,0)</f>
        <v>253</v>
      </c>
      <c r="F267" s="6">
        <f>_xlfn.RANK.EQ(D267,D:D,0)</f>
        <v>312</v>
      </c>
      <c r="G267" s="2">
        <f>E267*0.7+F267*0.3</f>
        <v>270.7</v>
      </c>
      <c r="H267" s="7">
        <v>266</v>
      </c>
    </row>
    <row r="268" spans="1:8" ht="12.45" customHeight="1" x14ac:dyDescent="0.3">
      <c r="A268" s="2" t="s">
        <v>291</v>
      </c>
      <c r="B268" s="2">
        <v>59.5</v>
      </c>
      <c r="C268" s="2">
        <v>4</v>
      </c>
      <c r="D268" s="2">
        <v>237.75</v>
      </c>
      <c r="E268" s="6">
        <f>_xlfn.RANK.EQ(C268,C:C,0)</f>
        <v>323</v>
      </c>
      <c r="F268" s="6">
        <f>_xlfn.RANK.EQ(D268,D:D,0)</f>
        <v>149</v>
      </c>
      <c r="G268" s="2">
        <f>E268*0.7+F268*0.3</f>
        <v>270.8</v>
      </c>
      <c r="H268" s="7">
        <v>267</v>
      </c>
    </row>
    <row r="269" spans="1:8" ht="12.45" customHeight="1" x14ac:dyDescent="0.3">
      <c r="A269" s="2" t="s">
        <v>293</v>
      </c>
      <c r="B269" s="2">
        <v>57</v>
      </c>
      <c r="C269" s="2">
        <v>4.04</v>
      </c>
      <c r="D269" s="2">
        <v>230.5</v>
      </c>
      <c r="E269" s="6">
        <f>_xlfn.RANK.EQ(C269,C:C,0)</f>
        <v>302</v>
      </c>
      <c r="F269" s="6">
        <f>_xlfn.RANK.EQ(D269,D:D,0)</f>
        <v>203</v>
      </c>
      <c r="G269" s="2">
        <f>E269*0.7+F269*0.3</f>
        <v>272.29999999999995</v>
      </c>
      <c r="H269" s="7">
        <v>268</v>
      </c>
    </row>
    <row r="270" spans="1:8" ht="12.45" customHeight="1" x14ac:dyDescent="0.3">
      <c r="A270" s="2" t="s">
        <v>294</v>
      </c>
      <c r="B270" s="2">
        <v>62</v>
      </c>
      <c r="C270" s="2">
        <v>3.97</v>
      </c>
      <c r="D270" s="2">
        <v>245.85</v>
      </c>
      <c r="E270" s="6">
        <f>_xlfn.RANK.EQ(C270,C:C,0)</f>
        <v>348</v>
      </c>
      <c r="F270" s="6">
        <f>_xlfn.RANK.EQ(D270,D:D,0)</f>
        <v>101</v>
      </c>
      <c r="G270" s="2">
        <f>E270*0.7+F270*0.3</f>
        <v>273.89999999999998</v>
      </c>
      <c r="H270" s="7">
        <v>269</v>
      </c>
    </row>
    <row r="271" spans="1:8" ht="12.45" customHeight="1" x14ac:dyDescent="0.3">
      <c r="A271" s="2" t="s">
        <v>295</v>
      </c>
      <c r="B271" s="2">
        <v>55</v>
      </c>
      <c r="C271" s="2">
        <v>4.08</v>
      </c>
      <c r="D271" s="2">
        <v>224.3</v>
      </c>
      <c r="E271" s="6">
        <f>_xlfn.RANK.EQ(C271,C:C,0)</f>
        <v>277</v>
      </c>
      <c r="F271" s="6">
        <f>_xlfn.RANK.EQ(D271,D:D,0)</f>
        <v>267</v>
      </c>
      <c r="G271" s="2">
        <f>E271*0.7+F271*0.3</f>
        <v>274</v>
      </c>
      <c r="H271" s="7">
        <v>270</v>
      </c>
    </row>
    <row r="272" spans="1:8" ht="12.45" customHeight="1" x14ac:dyDescent="0.3">
      <c r="A272" s="2" t="s">
        <v>296</v>
      </c>
      <c r="B272" s="2">
        <v>53</v>
      </c>
      <c r="C272" s="2">
        <v>4.12</v>
      </c>
      <c r="D272" s="2">
        <v>218.15</v>
      </c>
      <c r="E272" s="6">
        <f>_xlfn.RANK.EQ(C272,C:C,0)</f>
        <v>255</v>
      </c>
      <c r="F272" s="6">
        <f>_xlfn.RANK.EQ(D272,D:D,0)</f>
        <v>321</v>
      </c>
      <c r="G272" s="2">
        <f>E272*0.7+F272*0.3</f>
        <v>274.8</v>
      </c>
      <c r="H272" s="7">
        <v>271</v>
      </c>
    </row>
    <row r="273" spans="1:8" ht="12.45" customHeight="1" x14ac:dyDescent="0.3">
      <c r="A273" s="2" t="s">
        <v>297</v>
      </c>
      <c r="B273" s="2">
        <v>54</v>
      </c>
      <c r="C273" s="2">
        <v>4.0999999999999996</v>
      </c>
      <c r="D273" s="2">
        <v>221.4</v>
      </c>
      <c r="E273" s="6">
        <f>_xlfn.RANK.EQ(C273,C:C,0)</f>
        <v>268</v>
      </c>
      <c r="F273" s="6">
        <f>_xlfn.RANK.EQ(D273,D:D,0)</f>
        <v>294</v>
      </c>
      <c r="G273" s="2">
        <f>E273*0.7+F273*0.3</f>
        <v>275.8</v>
      </c>
      <c r="H273" s="7">
        <v>272</v>
      </c>
    </row>
    <row r="274" spans="1:8" ht="12.45" customHeight="1" x14ac:dyDescent="0.3">
      <c r="A274" s="2" t="s">
        <v>298</v>
      </c>
      <c r="B274" s="2">
        <v>51.5</v>
      </c>
      <c r="C274" s="2">
        <v>4.1500000000000004</v>
      </c>
      <c r="D274" s="2">
        <v>213.55</v>
      </c>
      <c r="E274" s="6">
        <f>_xlfn.RANK.EQ(C274,C:C,0)</f>
        <v>239</v>
      </c>
      <c r="F274" s="6">
        <f>_xlfn.RANK.EQ(D274,D:D,0)</f>
        <v>362</v>
      </c>
      <c r="G274" s="2">
        <f>E274*0.7+F274*0.3</f>
        <v>275.89999999999998</v>
      </c>
      <c r="H274" s="7">
        <v>273</v>
      </c>
    </row>
    <row r="275" spans="1:8" ht="12.45" customHeight="1" x14ac:dyDescent="0.3">
      <c r="A275" s="2" t="s">
        <v>299</v>
      </c>
      <c r="B275" s="2">
        <v>46</v>
      </c>
      <c r="C275" s="2">
        <v>4.24</v>
      </c>
      <c r="D275" s="2">
        <v>195.05</v>
      </c>
      <c r="E275" s="6">
        <f>_xlfn.RANK.EQ(C275,C:C,0)</f>
        <v>185</v>
      </c>
      <c r="F275" s="6">
        <f>_xlfn.RANK.EQ(D275,D:D,0)</f>
        <v>493</v>
      </c>
      <c r="G275" s="2">
        <f>E275*0.7+F275*0.3</f>
        <v>277.39999999999998</v>
      </c>
      <c r="H275" s="7">
        <v>274</v>
      </c>
    </row>
    <row r="276" spans="1:8" ht="12.45" customHeight="1" x14ac:dyDescent="0.3">
      <c r="A276" s="2" t="s">
        <v>300</v>
      </c>
      <c r="B276" s="2">
        <v>58</v>
      </c>
      <c r="C276" s="2">
        <v>4.01</v>
      </c>
      <c r="D276" s="2">
        <v>232.4</v>
      </c>
      <c r="E276" s="6">
        <f>_xlfn.RANK.EQ(C276,C:C,0)</f>
        <v>319</v>
      </c>
      <c r="F276" s="6">
        <f>_xlfn.RANK.EQ(D276,D:D,0)</f>
        <v>187</v>
      </c>
      <c r="G276" s="2">
        <f>E276*0.7+F276*0.3</f>
        <v>279.39999999999998</v>
      </c>
      <c r="H276" s="7">
        <v>275</v>
      </c>
    </row>
    <row r="277" spans="1:8" ht="12.45" customHeight="1" x14ac:dyDescent="0.3">
      <c r="A277" s="2" t="s">
        <v>301</v>
      </c>
      <c r="B277" s="2">
        <v>53</v>
      </c>
      <c r="C277" s="2">
        <v>4.1100000000000003</v>
      </c>
      <c r="D277" s="2">
        <v>217.65</v>
      </c>
      <c r="E277" s="6">
        <f>_xlfn.RANK.EQ(C277,C:C,0)</f>
        <v>259</v>
      </c>
      <c r="F277" s="6">
        <f>_xlfn.RANK.EQ(D277,D:D,0)</f>
        <v>330</v>
      </c>
      <c r="G277" s="2">
        <f>E277*0.7+F277*0.3</f>
        <v>280.29999999999995</v>
      </c>
      <c r="H277" s="7">
        <v>276</v>
      </c>
    </row>
    <row r="278" spans="1:8" ht="12.45" customHeight="1" x14ac:dyDescent="0.3">
      <c r="A278" s="2" t="s">
        <v>302</v>
      </c>
      <c r="B278" s="2">
        <v>55.5</v>
      </c>
      <c r="C278" s="2">
        <v>4.0599999999999996</v>
      </c>
      <c r="D278" s="2">
        <v>225.35</v>
      </c>
      <c r="E278" s="6">
        <f>_xlfn.RANK.EQ(C278,C:C,0)</f>
        <v>293</v>
      </c>
      <c r="F278" s="6">
        <f>_xlfn.RANK.EQ(D278,D:D,0)</f>
        <v>252</v>
      </c>
      <c r="G278" s="2">
        <f>E278*0.7+F278*0.3</f>
        <v>280.7</v>
      </c>
      <c r="H278" s="7">
        <v>277</v>
      </c>
    </row>
    <row r="279" spans="1:8" ht="12.45" customHeight="1" x14ac:dyDescent="0.3">
      <c r="A279" s="2" t="s">
        <v>303</v>
      </c>
      <c r="B279" s="2">
        <v>55</v>
      </c>
      <c r="C279" s="2">
        <v>4.07</v>
      </c>
      <c r="D279" s="2">
        <v>223.7</v>
      </c>
      <c r="E279" s="6">
        <f>_xlfn.RANK.EQ(C279,C:C,0)</f>
        <v>284</v>
      </c>
      <c r="F279" s="6">
        <f>_xlfn.RANK.EQ(D279,D:D,0)</f>
        <v>274</v>
      </c>
      <c r="G279" s="2">
        <f>E279*0.7+F279*0.3</f>
        <v>281</v>
      </c>
      <c r="H279" s="7">
        <v>278</v>
      </c>
    </row>
    <row r="280" spans="1:8" ht="12.45" customHeight="1" x14ac:dyDescent="0.3">
      <c r="A280" s="2" t="s">
        <v>304</v>
      </c>
      <c r="B280" s="2">
        <v>51.5</v>
      </c>
      <c r="C280" s="2">
        <v>4.1399999999999997</v>
      </c>
      <c r="D280" s="2">
        <v>213.3</v>
      </c>
      <c r="E280" s="6">
        <f>_xlfn.RANK.EQ(C280,C:C,0)</f>
        <v>246</v>
      </c>
      <c r="F280" s="6">
        <f>_xlfn.RANK.EQ(D280,D:D,0)</f>
        <v>367</v>
      </c>
      <c r="G280" s="2">
        <f>E280*0.7+F280*0.3</f>
        <v>282.29999999999995</v>
      </c>
      <c r="H280" s="7">
        <v>279</v>
      </c>
    </row>
    <row r="281" spans="1:8" ht="12.45" customHeight="1" x14ac:dyDescent="0.3">
      <c r="A281" s="2" t="s">
        <v>305</v>
      </c>
      <c r="B281" s="2">
        <v>52.5</v>
      </c>
      <c r="C281" s="2">
        <v>4.1100000000000003</v>
      </c>
      <c r="D281" s="2">
        <v>215.85</v>
      </c>
      <c r="E281" s="6">
        <f>_xlfn.RANK.EQ(C281,C:C,0)</f>
        <v>259</v>
      </c>
      <c r="F281" s="6">
        <f>_xlfn.RANK.EQ(D281,D:D,0)</f>
        <v>342</v>
      </c>
      <c r="G281" s="2">
        <f>E281*0.7+F281*0.3</f>
        <v>283.89999999999998</v>
      </c>
      <c r="H281" s="7">
        <v>280</v>
      </c>
    </row>
    <row r="282" spans="1:8" ht="12.45" customHeight="1" x14ac:dyDescent="0.3">
      <c r="A282" s="2" t="s">
        <v>306</v>
      </c>
      <c r="B282" s="2">
        <v>52.5</v>
      </c>
      <c r="C282" s="2">
        <v>4.1100000000000003</v>
      </c>
      <c r="D282" s="2">
        <v>215.75</v>
      </c>
      <c r="E282" s="6">
        <f>_xlfn.RANK.EQ(C282,C:C,0)</f>
        <v>259</v>
      </c>
      <c r="F282" s="6">
        <f>_xlfn.RANK.EQ(D282,D:D,0)</f>
        <v>343</v>
      </c>
      <c r="G282" s="2">
        <f>E282*0.7+F282*0.3</f>
        <v>284.2</v>
      </c>
      <c r="H282" s="7">
        <v>281</v>
      </c>
    </row>
    <row r="283" spans="1:8" ht="12.45" customHeight="1" x14ac:dyDescent="0.3">
      <c r="A283" s="2" t="s">
        <v>307</v>
      </c>
      <c r="B283" s="2">
        <v>54</v>
      </c>
      <c r="C283" s="2">
        <v>4.08</v>
      </c>
      <c r="D283" s="2">
        <v>220.45</v>
      </c>
      <c r="E283" s="6">
        <f>_xlfn.RANK.EQ(C283,C:C,0)</f>
        <v>277</v>
      </c>
      <c r="F283" s="6">
        <f>_xlfn.RANK.EQ(D283,D:D,0)</f>
        <v>301</v>
      </c>
      <c r="G283" s="2">
        <f>E283*0.7+F283*0.3</f>
        <v>284.2</v>
      </c>
      <c r="H283" s="7">
        <v>281</v>
      </c>
    </row>
    <row r="284" spans="1:8" ht="12.45" customHeight="1" x14ac:dyDescent="0.3">
      <c r="A284" s="2" t="s">
        <v>308</v>
      </c>
      <c r="B284" s="2">
        <v>56</v>
      </c>
      <c r="C284" s="2">
        <v>4.04</v>
      </c>
      <c r="D284" s="2">
        <v>226.25</v>
      </c>
      <c r="E284" s="6">
        <f>_xlfn.RANK.EQ(C284,C:C,0)</f>
        <v>302</v>
      </c>
      <c r="F284" s="6">
        <f>_xlfn.RANK.EQ(D284,D:D,0)</f>
        <v>247</v>
      </c>
      <c r="G284" s="2">
        <f>E284*0.7+F284*0.3</f>
        <v>285.5</v>
      </c>
      <c r="H284" s="7">
        <v>283</v>
      </c>
    </row>
    <row r="285" spans="1:8" ht="12.45" customHeight="1" x14ac:dyDescent="0.3">
      <c r="A285" s="2" t="s">
        <v>309</v>
      </c>
      <c r="B285" s="2">
        <v>53.5</v>
      </c>
      <c r="C285" s="2">
        <v>4.09</v>
      </c>
      <c r="D285" s="2">
        <v>218.95</v>
      </c>
      <c r="E285" s="6">
        <f>_xlfn.RANK.EQ(C285,C:C,0)</f>
        <v>274</v>
      </c>
      <c r="F285" s="6">
        <f>_xlfn.RANK.EQ(D285,D:D,0)</f>
        <v>314</v>
      </c>
      <c r="G285" s="2">
        <f>E285*0.7+F285*0.3</f>
        <v>286</v>
      </c>
      <c r="H285" s="7">
        <v>284</v>
      </c>
    </row>
    <row r="286" spans="1:8" ht="12.45" customHeight="1" x14ac:dyDescent="0.3">
      <c r="A286" s="2" t="s">
        <v>310</v>
      </c>
      <c r="B286" s="2">
        <v>53.5</v>
      </c>
      <c r="C286" s="2">
        <v>4.09</v>
      </c>
      <c r="D286" s="2">
        <v>218.75</v>
      </c>
      <c r="E286" s="6">
        <f>_xlfn.RANK.EQ(C286,C:C,0)</f>
        <v>274</v>
      </c>
      <c r="F286" s="6">
        <f>_xlfn.RANK.EQ(D286,D:D,0)</f>
        <v>316</v>
      </c>
      <c r="G286" s="2">
        <f>E286*0.7+F286*0.3</f>
        <v>286.59999999999997</v>
      </c>
      <c r="H286" s="7">
        <v>285</v>
      </c>
    </row>
    <row r="287" spans="1:8" ht="12.45" customHeight="1" x14ac:dyDescent="0.3">
      <c r="A287" s="2" t="s">
        <v>311</v>
      </c>
      <c r="B287" s="2">
        <v>58.5</v>
      </c>
      <c r="C287" s="2">
        <v>3.99</v>
      </c>
      <c r="D287" s="2">
        <v>233.35</v>
      </c>
      <c r="E287" s="6">
        <f>_xlfn.RANK.EQ(C287,C:C,0)</f>
        <v>332</v>
      </c>
      <c r="F287" s="6">
        <f>_xlfn.RANK.EQ(D287,D:D,0)</f>
        <v>183</v>
      </c>
      <c r="G287" s="2">
        <f>E287*0.7+F287*0.3</f>
        <v>287.29999999999995</v>
      </c>
      <c r="H287" s="7">
        <v>286</v>
      </c>
    </row>
    <row r="288" spans="1:8" ht="12.45" customHeight="1" x14ac:dyDescent="0.3">
      <c r="A288" s="2" t="s">
        <v>312</v>
      </c>
      <c r="B288" s="2">
        <v>55</v>
      </c>
      <c r="C288" s="2">
        <v>4.0599999999999996</v>
      </c>
      <c r="D288" s="2">
        <v>223.3</v>
      </c>
      <c r="E288" s="6">
        <f>_xlfn.RANK.EQ(C288,C:C,0)</f>
        <v>293</v>
      </c>
      <c r="F288" s="6">
        <f>_xlfn.RANK.EQ(D288,D:D,0)</f>
        <v>279</v>
      </c>
      <c r="G288" s="2">
        <f>E288*0.7+F288*0.3</f>
        <v>288.8</v>
      </c>
      <c r="H288" s="7">
        <v>287</v>
      </c>
    </row>
    <row r="289" spans="1:8" ht="12.45" customHeight="1" x14ac:dyDescent="0.3">
      <c r="A289" s="2" t="s">
        <v>313</v>
      </c>
      <c r="B289" s="2">
        <v>53.5</v>
      </c>
      <c r="C289" s="2">
        <v>4.08</v>
      </c>
      <c r="D289" s="2">
        <v>218.45</v>
      </c>
      <c r="E289" s="6">
        <f>_xlfn.RANK.EQ(C289,C:C,0)</f>
        <v>277</v>
      </c>
      <c r="F289" s="6">
        <f>_xlfn.RANK.EQ(D289,D:D,0)</f>
        <v>318</v>
      </c>
      <c r="G289" s="2">
        <f>E289*0.7+F289*0.3</f>
        <v>289.29999999999995</v>
      </c>
      <c r="H289" s="7">
        <v>288</v>
      </c>
    </row>
    <row r="290" spans="1:8" ht="12.45" customHeight="1" x14ac:dyDescent="0.3">
      <c r="A290" s="2" t="s">
        <v>314</v>
      </c>
      <c r="B290" s="2">
        <v>52</v>
      </c>
      <c r="C290" s="2">
        <v>4.1100000000000003</v>
      </c>
      <c r="D290" s="2">
        <v>213.75</v>
      </c>
      <c r="E290" s="6">
        <f>_xlfn.RANK.EQ(C290,C:C,0)</f>
        <v>259</v>
      </c>
      <c r="F290" s="6">
        <f>_xlfn.RANK.EQ(D290,D:D,0)</f>
        <v>360</v>
      </c>
      <c r="G290" s="2">
        <f>E290*0.7+F290*0.3</f>
        <v>289.29999999999995</v>
      </c>
      <c r="H290" s="7">
        <v>288</v>
      </c>
    </row>
    <row r="291" spans="1:8" ht="12.45" customHeight="1" x14ac:dyDescent="0.3">
      <c r="A291" s="2" t="s">
        <v>315</v>
      </c>
      <c r="B291" s="2">
        <v>54</v>
      </c>
      <c r="C291" s="2">
        <v>4.07</v>
      </c>
      <c r="D291" s="2">
        <v>219.9</v>
      </c>
      <c r="E291" s="6">
        <f>_xlfn.RANK.EQ(C291,C:C,0)</f>
        <v>284</v>
      </c>
      <c r="F291" s="6">
        <f>_xlfn.RANK.EQ(D291,D:D,0)</f>
        <v>306</v>
      </c>
      <c r="G291" s="2">
        <f>E291*0.7+F291*0.3</f>
        <v>290.59999999999997</v>
      </c>
      <c r="H291" s="7">
        <v>290</v>
      </c>
    </row>
    <row r="292" spans="1:8" ht="12.45" customHeight="1" x14ac:dyDescent="0.3">
      <c r="A292" s="2" t="s">
        <v>316</v>
      </c>
      <c r="B292" s="2">
        <v>55.5</v>
      </c>
      <c r="C292" s="2">
        <v>4.04</v>
      </c>
      <c r="D292" s="2">
        <v>224.45</v>
      </c>
      <c r="E292" s="6">
        <f>_xlfn.RANK.EQ(C292,C:C,0)</f>
        <v>302</v>
      </c>
      <c r="F292" s="6">
        <f>_xlfn.RANK.EQ(D292,D:D,0)</f>
        <v>265</v>
      </c>
      <c r="G292" s="2">
        <f>E292*0.7+F292*0.3</f>
        <v>290.89999999999998</v>
      </c>
      <c r="H292" s="7">
        <v>291</v>
      </c>
    </row>
    <row r="293" spans="1:8" ht="12.45" customHeight="1" x14ac:dyDescent="0.3">
      <c r="A293" s="2" t="s">
        <v>317</v>
      </c>
      <c r="B293" s="2">
        <v>55</v>
      </c>
      <c r="C293" s="2">
        <v>4.05</v>
      </c>
      <c r="D293" s="2">
        <v>222.95</v>
      </c>
      <c r="E293" s="6">
        <f>_xlfn.RANK.EQ(C293,C:C,0)</f>
        <v>296</v>
      </c>
      <c r="F293" s="6">
        <f>_xlfn.RANK.EQ(D293,D:D,0)</f>
        <v>280</v>
      </c>
      <c r="G293" s="2">
        <f>E293*0.7+F293*0.3</f>
        <v>291.2</v>
      </c>
      <c r="H293" s="7">
        <v>292</v>
      </c>
    </row>
    <row r="294" spans="1:8" ht="12.45" customHeight="1" x14ac:dyDescent="0.3">
      <c r="A294" s="2" t="s">
        <v>318</v>
      </c>
      <c r="B294" s="2">
        <v>52.5</v>
      </c>
      <c r="C294" s="2">
        <v>4.0999999999999996</v>
      </c>
      <c r="D294" s="2">
        <v>215.35</v>
      </c>
      <c r="E294" s="6">
        <f>_xlfn.RANK.EQ(C294,C:C,0)</f>
        <v>268</v>
      </c>
      <c r="F294" s="6">
        <f>_xlfn.RANK.EQ(D294,D:D,0)</f>
        <v>349</v>
      </c>
      <c r="G294" s="2">
        <f>E294*0.7+F294*0.3</f>
        <v>292.3</v>
      </c>
      <c r="H294" s="7">
        <v>293</v>
      </c>
    </row>
    <row r="295" spans="1:8" ht="12.45" customHeight="1" x14ac:dyDescent="0.3">
      <c r="A295" s="2" t="s">
        <v>319</v>
      </c>
      <c r="B295" s="2">
        <v>56</v>
      </c>
      <c r="C295" s="2">
        <v>4.03</v>
      </c>
      <c r="D295" s="2">
        <v>225.9</v>
      </c>
      <c r="E295" s="6">
        <f>_xlfn.RANK.EQ(C295,C:C,0)</f>
        <v>311</v>
      </c>
      <c r="F295" s="6">
        <f>_xlfn.RANK.EQ(D295,D:D,0)</f>
        <v>249</v>
      </c>
      <c r="G295" s="2">
        <f>E295*0.7+F295*0.3</f>
        <v>292.39999999999998</v>
      </c>
      <c r="H295" s="7">
        <v>294</v>
      </c>
    </row>
    <row r="296" spans="1:8" ht="12.45" customHeight="1" x14ac:dyDescent="0.3">
      <c r="A296" s="2" t="s">
        <v>321</v>
      </c>
      <c r="B296" s="2">
        <v>48</v>
      </c>
      <c r="C296" s="2">
        <v>4.18</v>
      </c>
      <c r="D296" s="2">
        <v>200.5</v>
      </c>
      <c r="E296" s="6">
        <f>_xlfn.RANK.EQ(C296,C:C,0)</f>
        <v>221</v>
      </c>
      <c r="F296" s="6">
        <f>_xlfn.RANK.EQ(D296,D:D,0)</f>
        <v>459</v>
      </c>
      <c r="G296" s="2">
        <f>E296*0.7+F296*0.3</f>
        <v>292.39999999999998</v>
      </c>
      <c r="H296" s="7">
        <v>294</v>
      </c>
    </row>
    <row r="297" spans="1:8" ht="12.45" customHeight="1" x14ac:dyDescent="0.3">
      <c r="A297" s="2" t="s">
        <v>320</v>
      </c>
      <c r="B297" s="2">
        <v>58</v>
      </c>
      <c r="C297" s="2">
        <v>3.99</v>
      </c>
      <c r="D297" s="2">
        <v>231.15</v>
      </c>
      <c r="E297" s="6">
        <f>_xlfn.RANK.EQ(C297,C:C,0)</f>
        <v>332</v>
      </c>
      <c r="F297" s="6">
        <f>_xlfn.RANK.EQ(D297,D:D,0)</f>
        <v>201</v>
      </c>
      <c r="G297" s="2">
        <f>E297*0.7+F297*0.3</f>
        <v>292.7</v>
      </c>
      <c r="H297" s="7">
        <v>296</v>
      </c>
    </row>
    <row r="298" spans="1:8" ht="12.45" customHeight="1" x14ac:dyDescent="0.3">
      <c r="A298" s="2" t="s">
        <v>322</v>
      </c>
      <c r="B298" s="2">
        <v>56</v>
      </c>
      <c r="C298" s="2">
        <v>4.0199999999999996</v>
      </c>
      <c r="D298" s="2">
        <v>225.35</v>
      </c>
      <c r="E298" s="6">
        <f>_xlfn.RANK.EQ(C298,C:C,0)</f>
        <v>313</v>
      </c>
      <c r="F298" s="6">
        <f>_xlfn.RANK.EQ(D298,D:D,0)</f>
        <v>252</v>
      </c>
      <c r="G298" s="2">
        <f>E298*0.7+F298*0.3</f>
        <v>294.7</v>
      </c>
      <c r="H298" s="7">
        <v>297</v>
      </c>
    </row>
    <row r="299" spans="1:8" ht="12.45" customHeight="1" x14ac:dyDescent="0.3">
      <c r="A299" s="2" t="s">
        <v>323</v>
      </c>
      <c r="B299" s="2">
        <v>52</v>
      </c>
      <c r="C299" s="2">
        <v>4.0999999999999996</v>
      </c>
      <c r="D299" s="2">
        <v>213.45</v>
      </c>
      <c r="E299" s="6">
        <f>_xlfn.RANK.EQ(C299,C:C,0)</f>
        <v>268</v>
      </c>
      <c r="F299" s="6">
        <f>_xlfn.RANK.EQ(D299,D:D,0)</f>
        <v>365</v>
      </c>
      <c r="G299" s="2">
        <f>E299*0.7+F299*0.3</f>
        <v>297.10000000000002</v>
      </c>
      <c r="H299" s="7">
        <v>298</v>
      </c>
    </row>
    <row r="300" spans="1:8" ht="12.45" customHeight="1" x14ac:dyDescent="0.3">
      <c r="A300" s="2" t="s">
        <v>324</v>
      </c>
      <c r="B300" s="2">
        <v>56</v>
      </c>
      <c r="C300" s="2">
        <v>4.0199999999999996</v>
      </c>
      <c r="D300" s="2">
        <v>224.85</v>
      </c>
      <c r="E300" s="6">
        <f>_xlfn.RANK.EQ(C300,C:C,0)</f>
        <v>313</v>
      </c>
      <c r="F300" s="6">
        <f>_xlfn.RANK.EQ(D300,D:D,0)</f>
        <v>263</v>
      </c>
      <c r="G300" s="2">
        <f>E300*0.7+F300*0.3</f>
        <v>298</v>
      </c>
      <c r="H300" s="7">
        <v>299</v>
      </c>
    </row>
    <row r="301" spans="1:8" ht="12.45" customHeight="1" x14ac:dyDescent="0.3">
      <c r="A301" s="2" t="s">
        <v>325</v>
      </c>
      <c r="B301" s="2">
        <v>56.5</v>
      </c>
      <c r="C301" s="2">
        <v>4</v>
      </c>
      <c r="D301" s="2">
        <v>226</v>
      </c>
      <c r="E301" s="6">
        <f>_xlfn.RANK.EQ(C301,C:C,0)</f>
        <v>323</v>
      </c>
      <c r="F301" s="6">
        <f>_xlfn.RANK.EQ(D301,D:D,0)</f>
        <v>248</v>
      </c>
      <c r="G301" s="2">
        <f>E301*0.7+F301*0.3</f>
        <v>300.5</v>
      </c>
      <c r="H301" s="7">
        <v>300</v>
      </c>
    </row>
    <row r="302" spans="1:8" ht="12.45" customHeight="1" x14ac:dyDescent="0.3">
      <c r="A302" s="2" t="s">
        <v>326</v>
      </c>
      <c r="B302" s="2">
        <v>56.5</v>
      </c>
      <c r="C302" s="2">
        <v>4</v>
      </c>
      <c r="D302" s="2">
        <v>225.8</v>
      </c>
      <c r="E302" s="6">
        <f>_xlfn.RANK.EQ(C302,C:C,0)</f>
        <v>323</v>
      </c>
      <c r="F302" s="6">
        <f>_xlfn.RANK.EQ(D302,D:D,0)</f>
        <v>250</v>
      </c>
      <c r="G302" s="2">
        <f>E302*0.7+F302*0.3</f>
        <v>301.10000000000002</v>
      </c>
      <c r="H302" s="7">
        <v>301</v>
      </c>
    </row>
    <row r="303" spans="1:8" ht="12.45" customHeight="1" x14ac:dyDescent="0.3">
      <c r="A303" s="2" t="s">
        <v>327</v>
      </c>
      <c r="B303" s="2">
        <v>53</v>
      </c>
      <c r="C303" s="2">
        <v>4.07</v>
      </c>
      <c r="D303" s="2">
        <v>215.7</v>
      </c>
      <c r="E303" s="6">
        <f>_xlfn.RANK.EQ(C303,C:C,0)</f>
        <v>284</v>
      </c>
      <c r="F303" s="6">
        <f>_xlfn.RANK.EQ(D303,D:D,0)</f>
        <v>344</v>
      </c>
      <c r="G303" s="2">
        <f>E303*0.7+F303*0.3</f>
        <v>302</v>
      </c>
      <c r="H303" s="7">
        <v>302</v>
      </c>
    </row>
    <row r="304" spans="1:8" ht="12.45" customHeight="1" x14ac:dyDescent="0.3">
      <c r="A304" s="2" t="s">
        <v>328</v>
      </c>
      <c r="B304" s="2">
        <v>60</v>
      </c>
      <c r="C304" s="2">
        <v>3.96</v>
      </c>
      <c r="D304" s="2">
        <v>233.55</v>
      </c>
      <c r="E304" s="6">
        <f>_xlfn.RANK.EQ(C304,C:C,0)</f>
        <v>355</v>
      </c>
      <c r="F304" s="6">
        <f>_xlfn.RANK.EQ(D304,D:D,0)</f>
        <v>181</v>
      </c>
      <c r="G304" s="2">
        <f>E304*0.7+F304*0.3</f>
        <v>302.79999999999995</v>
      </c>
      <c r="H304" s="7">
        <v>303</v>
      </c>
    </row>
    <row r="305" spans="1:8" ht="12.45" customHeight="1" x14ac:dyDescent="0.3">
      <c r="A305" s="2" t="s">
        <v>329</v>
      </c>
      <c r="B305" s="2">
        <v>52</v>
      </c>
      <c r="C305" s="2">
        <v>4.08</v>
      </c>
      <c r="D305" s="2">
        <v>212.2</v>
      </c>
      <c r="E305" s="6">
        <f>_xlfn.RANK.EQ(C305,C:C,0)</f>
        <v>277</v>
      </c>
      <c r="F305" s="6">
        <f>_xlfn.RANK.EQ(D305,D:D,0)</f>
        <v>374</v>
      </c>
      <c r="G305" s="2">
        <f>E305*0.7+F305*0.3</f>
        <v>306.09999999999997</v>
      </c>
      <c r="H305" s="7">
        <v>304</v>
      </c>
    </row>
    <row r="306" spans="1:8" ht="12.45" customHeight="1" x14ac:dyDescent="0.3">
      <c r="A306" s="2" t="s">
        <v>330</v>
      </c>
      <c r="B306" s="2">
        <v>56</v>
      </c>
      <c r="C306" s="2">
        <v>4</v>
      </c>
      <c r="D306" s="2">
        <v>224.05</v>
      </c>
      <c r="E306" s="6">
        <f>_xlfn.RANK.EQ(C306,C:C,0)</f>
        <v>323</v>
      </c>
      <c r="F306" s="6">
        <f>_xlfn.RANK.EQ(D306,D:D,0)</f>
        <v>269</v>
      </c>
      <c r="G306" s="2">
        <f>E306*0.7+F306*0.3</f>
        <v>306.8</v>
      </c>
      <c r="H306" s="7">
        <v>305</v>
      </c>
    </row>
    <row r="307" spans="1:8" ht="12.45" customHeight="1" x14ac:dyDescent="0.3">
      <c r="A307" s="2" t="s">
        <v>331</v>
      </c>
      <c r="B307" s="2">
        <v>54</v>
      </c>
      <c r="C307" s="2">
        <v>4.04</v>
      </c>
      <c r="D307" s="2">
        <v>218.3</v>
      </c>
      <c r="E307" s="6">
        <f>_xlfn.RANK.EQ(C307,C:C,0)</f>
        <v>302</v>
      </c>
      <c r="F307" s="6">
        <f>_xlfn.RANK.EQ(D307,D:D,0)</f>
        <v>319</v>
      </c>
      <c r="G307" s="2">
        <f>E307*0.7+F307*0.3</f>
        <v>307.09999999999997</v>
      </c>
      <c r="H307" s="7">
        <v>306</v>
      </c>
    </row>
    <row r="308" spans="1:8" ht="12.45" customHeight="1" x14ac:dyDescent="0.3">
      <c r="A308" s="2" t="s">
        <v>332</v>
      </c>
      <c r="B308" s="2">
        <v>56</v>
      </c>
      <c r="C308" s="2">
        <v>4</v>
      </c>
      <c r="D308" s="2">
        <v>223.95</v>
      </c>
      <c r="E308" s="6">
        <f>_xlfn.RANK.EQ(C308,C:C,0)</f>
        <v>323</v>
      </c>
      <c r="F308" s="6">
        <f>_xlfn.RANK.EQ(D308,D:D,0)</f>
        <v>270</v>
      </c>
      <c r="G308" s="2">
        <f>E308*0.7+F308*0.3</f>
        <v>307.10000000000002</v>
      </c>
      <c r="H308" s="7">
        <v>306</v>
      </c>
    </row>
    <row r="309" spans="1:8" ht="12.45" customHeight="1" x14ac:dyDescent="0.3">
      <c r="A309" s="2" t="s">
        <v>333</v>
      </c>
      <c r="B309" s="2">
        <v>60</v>
      </c>
      <c r="C309" s="2">
        <v>3.94</v>
      </c>
      <c r="D309" s="2">
        <v>235.5</v>
      </c>
      <c r="E309" s="6">
        <f>_xlfn.RANK.EQ(C309,C:C,0)</f>
        <v>368</v>
      </c>
      <c r="F309" s="6">
        <f>_xlfn.RANK.EQ(D309,D:D,0)</f>
        <v>168</v>
      </c>
      <c r="G309" s="2">
        <f>E309*0.7+F309*0.3</f>
        <v>307.99999999999994</v>
      </c>
      <c r="H309" s="7">
        <v>308</v>
      </c>
    </row>
    <row r="310" spans="1:8" ht="12.45" customHeight="1" x14ac:dyDescent="0.3">
      <c r="A310" s="2" t="s">
        <v>335</v>
      </c>
      <c r="B310" s="2">
        <v>56.5</v>
      </c>
      <c r="C310" s="2">
        <v>3.99</v>
      </c>
      <c r="D310" s="2">
        <v>225.35</v>
      </c>
      <c r="E310" s="6">
        <f>_xlfn.RANK.EQ(C310,C:C,0)</f>
        <v>332</v>
      </c>
      <c r="F310" s="6">
        <f>_xlfn.RANK.EQ(D310,D:D,0)</f>
        <v>252</v>
      </c>
      <c r="G310" s="2">
        <f>E310*0.7+F310*0.3</f>
        <v>308</v>
      </c>
      <c r="H310" s="7">
        <v>308</v>
      </c>
    </row>
    <row r="311" spans="1:8" ht="12.45" customHeight="1" x14ac:dyDescent="0.3">
      <c r="A311" s="2" t="s">
        <v>334</v>
      </c>
      <c r="B311" s="2">
        <v>55.5</v>
      </c>
      <c r="C311" s="2">
        <v>4.01</v>
      </c>
      <c r="D311" s="2">
        <v>222.55</v>
      </c>
      <c r="E311" s="6">
        <f>_xlfn.RANK.EQ(C311,C:C,0)</f>
        <v>319</v>
      </c>
      <c r="F311" s="6">
        <f>_xlfn.RANK.EQ(D311,D:D,0)</f>
        <v>283</v>
      </c>
      <c r="G311" s="2">
        <f>E311*0.7+F311*0.3</f>
        <v>308.2</v>
      </c>
      <c r="H311" s="7">
        <v>310</v>
      </c>
    </row>
    <row r="312" spans="1:8" ht="12.45" customHeight="1" x14ac:dyDescent="0.3">
      <c r="A312" s="2" t="s">
        <v>336</v>
      </c>
      <c r="B312" s="2">
        <v>54</v>
      </c>
      <c r="C312" s="2">
        <v>4.04</v>
      </c>
      <c r="D312" s="2">
        <v>218.1</v>
      </c>
      <c r="E312" s="6">
        <f>_xlfn.RANK.EQ(C312,C:C,0)</f>
        <v>302</v>
      </c>
      <c r="F312" s="6">
        <f>_xlfn.RANK.EQ(D312,D:D,0)</f>
        <v>323</v>
      </c>
      <c r="G312" s="2">
        <f>E312*0.7+F312*0.3</f>
        <v>308.29999999999995</v>
      </c>
      <c r="H312" s="7">
        <v>311</v>
      </c>
    </row>
    <row r="313" spans="1:8" ht="12.45" customHeight="1" x14ac:dyDescent="0.3">
      <c r="A313" s="2" t="s">
        <v>337</v>
      </c>
      <c r="B313" s="2">
        <v>56.5</v>
      </c>
      <c r="C313" s="2">
        <v>3.99</v>
      </c>
      <c r="D313" s="2">
        <v>225.3</v>
      </c>
      <c r="E313" s="6">
        <f>_xlfn.RANK.EQ(C313,C:C,0)</f>
        <v>332</v>
      </c>
      <c r="F313" s="6">
        <f>_xlfn.RANK.EQ(D313,D:D,0)</f>
        <v>255</v>
      </c>
      <c r="G313" s="2">
        <f>E313*0.7+F313*0.3</f>
        <v>308.89999999999998</v>
      </c>
      <c r="H313" s="7">
        <v>312</v>
      </c>
    </row>
    <row r="314" spans="1:8" ht="12.45" customHeight="1" x14ac:dyDescent="0.3">
      <c r="A314" s="2" t="s">
        <v>338</v>
      </c>
      <c r="B314" s="2">
        <v>56.5</v>
      </c>
      <c r="C314" s="2">
        <v>3.99</v>
      </c>
      <c r="D314" s="2">
        <v>225.2</v>
      </c>
      <c r="E314" s="6">
        <f>_xlfn.RANK.EQ(C314,C:C,0)</f>
        <v>332</v>
      </c>
      <c r="F314" s="6">
        <f>_xlfn.RANK.EQ(D314,D:D,0)</f>
        <v>259</v>
      </c>
      <c r="G314" s="2">
        <f>E314*0.7+F314*0.3</f>
        <v>310.09999999999997</v>
      </c>
      <c r="H314" s="7">
        <v>313</v>
      </c>
    </row>
    <row r="315" spans="1:8" ht="12.45" customHeight="1" x14ac:dyDescent="0.3">
      <c r="A315" s="2" t="s">
        <v>339</v>
      </c>
      <c r="B315" s="2">
        <v>61.5</v>
      </c>
      <c r="C315" s="2">
        <v>3.9</v>
      </c>
      <c r="D315" s="2">
        <v>239.85</v>
      </c>
      <c r="E315" s="6">
        <f>_xlfn.RANK.EQ(C315,C:C,0)</f>
        <v>389</v>
      </c>
      <c r="F315" s="6">
        <f>_xlfn.RANK.EQ(D315,D:D,0)</f>
        <v>131</v>
      </c>
      <c r="G315" s="2">
        <f>E315*0.7+F315*0.3</f>
        <v>311.59999999999997</v>
      </c>
      <c r="H315" s="7">
        <v>314</v>
      </c>
    </row>
    <row r="316" spans="1:8" ht="12.45" customHeight="1" x14ac:dyDescent="0.3">
      <c r="A316" s="2" t="s">
        <v>340</v>
      </c>
      <c r="B316" s="2">
        <v>51.5</v>
      </c>
      <c r="C316" s="2">
        <v>4.07</v>
      </c>
      <c r="D316" s="2">
        <v>209.85</v>
      </c>
      <c r="E316" s="6">
        <f>_xlfn.RANK.EQ(C316,C:C,0)</f>
        <v>284</v>
      </c>
      <c r="F316" s="6">
        <f>_xlfn.RANK.EQ(D316,D:D,0)</f>
        <v>389</v>
      </c>
      <c r="G316" s="2">
        <f>E316*0.7+F316*0.3</f>
        <v>315.5</v>
      </c>
      <c r="H316" s="7">
        <v>315</v>
      </c>
    </row>
    <row r="317" spans="1:8" ht="12.45" customHeight="1" x14ac:dyDescent="0.3">
      <c r="A317" s="2" t="s">
        <v>341</v>
      </c>
      <c r="B317" s="2">
        <v>51.5</v>
      </c>
      <c r="C317" s="2">
        <v>4.07</v>
      </c>
      <c r="D317" s="2">
        <v>209.7</v>
      </c>
      <c r="E317" s="6">
        <f>_xlfn.RANK.EQ(C317,C:C,0)</f>
        <v>284</v>
      </c>
      <c r="F317" s="6">
        <f>_xlfn.RANK.EQ(D317,D:D,0)</f>
        <v>391</v>
      </c>
      <c r="G317" s="2">
        <f>E317*0.7+F317*0.3</f>
        <v>316.09999999999997</v>
      </c>
      <c r="H317" s="7">
        <v>316</v>
      </c>
    </row>
    <row r="318" spans="1:8" ht="12.45" customHeight="1" x14ac:dyDescent="0.3">
      <c r="A318" s="2" t="s">
        <v>342</v>
      </c>
      <c r="B318" s="2">
        <v>51.5</v>
      </c>
      <c r="C318" s="2">
        <v>4.07</v>
      </c>
      <c r="D318" s="2">
        <v>209.55</v>
      </c>
      <c r="E318" s="6">
        <f>_xlfn.RANK.EQ(C318,C:C,0)</f>
        <v>284</v>
      </c>
      <c r="F318" s="6">
        <f>_xlfn.RANK.EQ(D318,D:D,0)</f>
        <v>392</v>
      </c>
      <c r="G318" s="2">
        <f>E318*0.7+F318*0.3</f>
        <v>316.39999999999998</v>
      </c>
      <c r="H318" s="7">
        <v>317</v>
      </c>
    </row>
    <row r="319" spans="1:8" ht="12.45" customHeight="1" x14ac:dyDescent="0.3">
      <c r="A319" s="2" t="s">
        <v>343</v>
      </c>
      <c r="B319" s="2">
        <v>48.5</v>
      </c>
      <c r="C319" s="2">
        <v>4.12</v>
      </c>
      <c r="D319" s="2">
        <v>200</v>
      </c>
      <c r="E319" s="6">
        <f>_xlfn.RANK.EQ(C319,C:C,0)</f>
        <v>255</v>
      </c>
      <c r="F319" s="6">
        <f>_xlfn.RANK.EQ(D319,D:D,0)</f>
        <v>461</v>
      </c>
      <c r="G319" s="2">
        <f>E319*0.7+F319*0.3</f>
        <v>316.79999999999995</v>
      </c>
      <c r="H319" s="7">
        <v>318</v>
      </c>
    </row>
    <row r="320" spans="1:8" ht="12.45" customHeight="1" x14ac:dyDescent="0.3">
      <c r="A320" s="2" t="s">
        <v>344</v>
      </c>
      <c r="B320" s="2">
        <v>57.5</v>
      </c>
      <c r="C320" s="2">
        <v>3.96</v>
      </c>
      <c r="D320" s="2">
        <v>227.9</v>
      </c>
      <c r="E320" s="6">
        <f>_xlfn.RANK.EQ(C320,C:C,0)</f>
        <v>355</v>
      </c>
      <c r="F320" s="6">
        <f>_xlfn.RANK.EQ(D320,D:D,0)</f>
        <v>229</v>
      </c>
      <c r="G320" s="2">
        <f>E320*0.7+F320*0.3</f>
        <v>317.2</v>
      </c>
      <c r="H320" s="7">
        <v>319</v>
      </c>
    </row>
    <row r="321" spans="1:8" ht="12.45" customHeight="1" x14ac:dyDescent="0.3">
      <c r="A321" s="2" t="s">
        <v>345</v>
      </c>
      <c r="B321" s="2">
        <v>52.5</v>
      </c>
      <c r="C321" s="2">
        <v>4.05</v>
      </c>
      <c r="D321" s="2">
        <v>212.6</v>
      </c>
      <c r="E321" s="6">
        <f>_xlfn.RANK.EQ(C321,C:C,0)</f>
        <v>296</v>
      </c>
      <c r="F321" s="6">
        <f>_xlfn.RANK.EQ(D321,D:D,0)</f>
        <v>369</v>
      </c>
      <c r="G321" s="2">
        <f>E321*0.7+F321*0.3</f>
        <v>317.89999999999998</v>
      </c>
      <c r="H321" s="7">
        <v>320</v>
      </c>
    </row>
    <row r="322" spans="1:8" ht="12.45" customHeight="1" x14ac:dyDescent="0.3">
      <c r="A322" s="2" t="s">
        <v>346</v>
      </c>
      <c r="B322" s="2">
        <v>52.5</v>
      </c>
      <c r="C322" s="2">
        <v>4.05</v>
      </c>
      <c r="D322" s="2">
        <v>212.55</v>
      </c>
      <c r="E322" s="6">
        <f>_xlfn.RANK.EQ(C322,C:C,0)</f>
        <v>296</v>
      </c>
      <c r="F322" s="6">
        <f>_xlfn.RANK.EQ(D322,D:D,0)</f>
        <v>370</v>
      </c>
      <c r="G322" s="2">
        <f>E322*0.7+F322*0.3</f>
        <v>318.2</v>
      </c>
      <c r="H322" s="7">
        <v>321</v>
      </c>
    </row>
    <row r="323" spans="1:8" ht="12.45" customHeight="1" x14ac:dyDescent="0.3">
      <c r="A323" s="2" t="s">
        <v>347</v>
      </c>
      <c r="B323" s="2">
        <v>50.5</v>
      </c>
      <c r="C323" s="2">
        <v>4.08</v>
      </c>
      <c r="D323" s="2">
        <v>206.15</v>
      </c>
      <c r="E323" s="6">
        <f>_xlfn.RANK.EQ(C323,C:C,0)</f>
        <v>277</v>
      </c>
      <c r="F323" s="6">
        <f>_xlfn.RANK.EQ(D323,D:D,0)</f>
        <v>419</v>
      </c>
      <c r="G323" s="2">
        <f>E323*0.7+F323*0.3</f>
        <v>319.59999999999997</v>
      </c>
      <c r="H323" s="7">
        <v>322</v>
      </c>
    </row>
    <row r="324" spans="1:8" ht="12.45" customHeight="1" x14ac:dyDescent="0.3">
      <c r="A324" s="2" t="s">
        <v>348</v>
      </c>
      <c r="B324" s="2">
        <v>55.5</v>
      </c>
      <c r="C324" s="2">
        <v>3.99</v>
      </c>
      <c r="D324" s="2">
        <v>221.25</v>
      </c>
      <c r="E324" s="6">
        <f>_xlfn.RANK.EQ(C324,C:C,0)</f>
        <v>332</v>
      </c>
      <c r="F324" s="6">
        <f>_xlfn.RANK.EQ(D324,D:D,0)</f>
        <v>295</v>
      </c>
      <c r="G324" s="2">
        <f>E324*0.7+F324*0.3</f>
        <v>320.89999999999998</v>
      </c>
      <c r="H324" s="7">
        <v>323</v>
      </c>
    </row>
    <row r="325" spans="1:8" ht="12.45" customHeight="1" x14ac:dyDescent="0.3">
      <c r="A325" s="2" t="s">
        <v>349</v>
      </c>
      <c r="B325" s="2">
        <v>54.5</v>
      </c>
      <c r="C325" s="2">
        <v>4</v>
      </c>
      <c r="D325" s="2">
        <v>217.75</v>
      </c>
      <c r="E325" s="6">
        <f>_xlfn.RANK.EQ(C325,C:C,0)</f>
        <v>323</v>
      </c>
      <c r="F325" s="6">
        <f>_xlfn.RANK.EQ(D325,D:D,0)</f>
        <v>328</v>
      </c>
      <c r="G325" s="2">
        <f>E325*0.7+F325*0.3</f>
        <v>324.5</v>
      </c>
      <c r="H325" s="7">
        <v>324</v>
      </c>
    </row>
    <row r="326" spans="1:8" ht="12.45" customHeight="1" x14ac:dyDescent="0.3">
      <c r="A326" s="2" t="s">
        <v>350</v>
      </c>
      <c r="B326" s="2">
        <v>53.5</v>
      </c>
      <c r="C326" s="2">
        <v>4.0199999999999996</v>
      </c>
      <c r="D326" s="2">
        <v>214.95</v>
      </c>
      <c r="E326" s="6">
        <f>_xlfn.RANK.EQ(C326,C:C,0)</f>
        <v>313</v>
      </c>
      <c r="F326" s="6">
        <f>_xlfn.RANK.EQ(D326,D:D,0)</f>
        <v>354</v>
      </c>
      <c r="G326" s="2">
        <f>E326*0.7+F326*0.3</f>
        <v>325.3</v>
      </c>
      <c r="H326" s="7">
        <v>325</v>
      </c>
    </row>
    <row r="327" spans="1:8" ht="12.45" customHeight="1" x14ac:dyDescent="0.3">
      <c r="A327" s="2" t="s">
        <v>351</v>
      </c>
      <c r="B327" s="2">
        <v>51.5</v>
      </c>
      <c r="C327" s="2">
        <v>4.05</v>
      </c>
      <c r="D327" s="2">
        <v>208.8</v>
      </c>
      <c r="E327" s="6">
        <f>_xlfn.RANK.EQ(C327,C:C,0)</f>
        <v>296</v>
      </c>
      <c r="F327" s="6">
        <f>_xlfn.RANK.EQ(D327,D:D,0)</f>
        <v>403</v>
      </c>
      <c r="G327" s="2">
        <f>E327*0.7+F327*0.3</f>
        <v>328.09999999999997</v>
      </c>
      <c r="H327" s="7">
        <v>326</v>
      </c>
    </row>
    <row r="328" spans="1:8" ht="12.45" customHeight="1" x14ac:dyDescent="0.3">
      <c r="A328" s="2" t="s">
        <v>352</v>
      </c>
      <c r="B328" s="2">
        <v>56</v>
      </c>
      <c r="C328" s="2">
        <v>3.97</v>
      </c>
      <c r="D328" s="2">
        <v>222.55</v>
      </c>
      <c r="E328" s="6">
        <f>_xlfn.RANK.EQ(C328,C:C,0)</f>
        <v>348</v>
      </c>
      <c r="F328" s="6">
        <f>_xlfn.RANK.EQ(D328,D:D,0)</f>
        <v>283</v>
      </c>
      <c r="G328" s="2">
        <f>E328*0.7+F328*0.3</f>
        <v>328.5</v>
      </c>
      <c r="H328" s="7">
        <v>327</v>
      </c>
    </row>
    <row r="329" spans="1:8" ht="12.45" customHeight="1" x14ac:dyDescent="0.3">
      <c r="A329" s="2" t="s">
        <v>353</v>
      </c>
      <c r="B329" s="2">
        <v>59.5</v>
      </c>
      <c r="C329" s="2">
        <v>3.9</v>
      </c>
      <c r="D329" s="2">
        <v>232.15</v>
      </c>
      <c r="E329" s="6">
        <f>_xlfn.RANK.EQ(C329,C:C,0)</f>
        <v>389</v>
      </c>
      <c r="F329" s="6">
        <f>_xlfn.RANK.EQ(D329,D:D,0)</f>
        <v>191</v>
      </c>
      <c r="G329" s="2">
        <f>E329*0.7+F329*0.3</f>
        <v>329.59999999999997</v>
      </c>
      <c r="H329" s="7">
        <v>328</v>
      </c>
    </row>
    <row r="330" spans="1:8" ht="12.45" customHeight="1" x14ac:dyDescent="0.3">
      <c r="A330" s="2" t="s">
        <v>354</v>
      </c>
      <c r="B330" s="2">
        <v>53.5</v>
      </c>
      <c r="C330" s="2">
        <v>4.01</v>
      </c>
      <c r="D330" s="2">
        <v>214.75</v>
      </c>
      <c r="E330" s="6">
        <f>_xlfn.RANK.EQ(C330,C:C,0)</f>
        <v>319</v>
      </c>
      <c r="F330" s="6">
        <f>_xlfn.RANK.EQ(D330,D:D,0)</f>
        <v>357</v>
      </c>
      <c r="G330" s="2">
        <f>E330*0.7+F330*0.3</f>
        <v>330.4</v>
      </c>
      <c r="H330" s="7">
        <v>329</v>
      </c>
    </row>
    <row r="331" spans="1:8" ht="12.45" customHeight="1" x14ac:dyDescent="0.3">
      <c r="A331" s="2" t="s">
        <v>355</v>
      </c>
      <c r="B331" s="2">
        <v>57.5</v>
      </c>
      <c r="C331" s="2">
        <v>3.94</v>
      </c>
      <c r="D331" s="2">
        <v>226.5</v>
      </c>
      <c r="E331" s="6">
        <f>_xlfn.RANK.EQ(C331,C:C,0)</f>
        <v>368</v>
      </c>
      <c r="F331" s="6">
        <f>_xlfn.RANK.EQ(D331,D:D,0)</f>
        <v>244</v>
      </c>
      <c r="G331" s="2">
        <f>E331*0.7+F331*0.3</f>
        <v>330.79999999999995</v>
      </c>
      <c r="H331" s="7">
        <v>330</v>
      </c>
    </row>
    <row r="332" spans="1:8" ht="12.45" customHeight="1" x14ac:dyDescent="0.3">
      <c r="A332" s="2" t="s">
        <v>356</v>
      </c>
      <c r="B332" s="2">
        <v>29</v>
      </c>
      <c r="C332" s="2">
        <v>4.25</v>
      </c>
      <c r="D332" s="2">
        <v>123.25</v>
      </c>
      <c r="E332" s="6">
        <f>_xlfn.RANK.EQ(C332,C:C,0)</f>
        <v>182</v>
      </c>
      <c r="F332" s="6">
        <f>_xlfn.RANK.EQ(D332,D:D,0)</f>
        <v>682</v>
      </c>
      <c r="G332" s="2">
        <f>E332*0.7+F332*0.3</f>
        <v>332</v>
      </c>
      <c r="H332" s="7">
        <v>331</v>
      </c>
    </row>
    <row r="333" spans="1:8" ht="12.45" customHeight="1" x14ac:dyDescent="0.3">
      <c r="A333" s="2" t="s">
        <v>357</v>
      </c>
      <c r="B333" s="2">
        <v>51</v>
      </c>
      <c r="C333" s="2">
        <v>4.05</v>
      </c>
      <c r="D333" s="2">
        <v>206.7</v>
      </c>
      <c r="E333" s="6">
        <f>_xlfn.RANK.EQ(C333,C:C,0)</f>
        <v>296</v>
      </c>
      <c r="F333" s="6">
        <f>_xlfn.RANK.EQ(D333,D:D,0)</f>
        <v>416</v>
      </c>
      <c r="G333" s="2">
        <f>E333*0.7+F333*0.3</f>
        <v>332</v>
      </c>
      <c r="H333" s="7">
        <v>331</v>
      </c>
    </row>
    <row r="334" spans="1:8" ht="12.45" customHeight="1" x14ac:dyDescent="0.3">
      <c r="A334" s="2" t="s">
        <v>358</v>
      </c>
      <c r="B334" s="2">
        <v>51</v>
      </c>
      <c r="C334" s="2">
        <v>4.05</v>
      </c>
      <c r="D334" s="2">
        <v>206.3</v>
      </c>
      <c r="E334" s="6">
        <f>_xlfn.RANK.EQ(C334,C:C,0)</f>
        <v>296</v>
      </c>
      <c r="F334" s="6">
        <f>_xlfn.RANK.EQ(D334,D:D,0)</f>
        <v>418</v>
      </c>
      <c r="G334" s="2">
        <f>E334*0.7+F334*0.3</f>
        <v>332.59999999999997</v>
      </c>
      <c r="H334" s="7">
        <v>333</v>
      </c>
    </row>
    <row r="335" spans="1:8" ht="12.45" customHeight="1" x14ac:dyDescent="0.3">
      <c r="A335" s="2" t="s">
        <v>360</v>
      </c>
      <c r="B335" s="2">
        <v>55</v>
      </c>
      <c r="C335" s="2">
        <v>3.98</v>
      </c>
      <c r="D335" s="2">
        <v>219.15</v>
      </c>
      <c r="E335" s="6">
        <f>_xlfn.RANK.EQ(C335,C:C,0)</f>
        <v>343</v>
      </c>
      <c r="F335" s="6">
        <f>_xlfn.RANK.EQ(D335,D:D,0)</f>
        <v>310</v>
      </c>
      <c r="G335" s="2">
        <f>E335*0.7+F335*0.3</f>
        <v>333.1</v>
      </c>
      <c r="H335" s="7">
        <v>334</v>
      </c>
    </row>
    <row r="336" spans="1:8" ht="12.45" customHeight="1" x14ac:dyDescent="0.3">
      <c r="A336" s="2" t="s">
        <v>361</v>
      </c>
      <c r="B336" s="2">
        <v>55.5</v>
      </c>
      <c r="C336" s="2">
        <v>3.97</v>
      </c>
      <c r="D336" s="2">
        <v>220.5</v>
      </c>
      <c r="E336" s="6">
        <f>_xlfn.RANK.EQ(C336,C:C,0)</f>
        <v>348</v>
      </c>
      <c r="F336" s="6">
        <f>_xlfn.RANK.EQ(D336,D:D,0)</f>
        <v>299</v>
      </c>
      <c r="G336" s="2">
        <f>E336*0.7+F336*0.3</f>
        <v>333.3</v>
      </c>
      <c r="H336" s="7">
        <v>335</v>
      </c>
    </row>
    <row r="337" spans="1:8" ht="12.45" customHeight="1" x14ac:dyDescent="0.3">
      <c r="A337" s="2" t="s">
        <v>359</v>
      </c>
      <c r="B337" s="2">
        <v>58.5</v>
      </c>
      <c r="C337" s="2">
        <v>3.91</v>
      </c>
      <c r="D337" s="2">
        <v>228.95</v>
      </c>
      <c r="E337" s="6">
        <f>_xlfn.RANK.EQ(C337,C:C,0)</f>
        <v>382</v>
      </c>
      <c r="F337" s="6">
        <f>_xlfn.RANK.EQ(D337,D:D,0)</f>
        <v>221</v>
      </c>
      <c r="G337" s="2">
        <f>E337*0.7+F337*0.3</f>
        <v>333.7</v>
      </c>
      <c r="H337" s="7">
        <v>336</v>
      </c>
    </row>
    <row r="338" spans="1:8" ht="12.45" customHeight="1" x14ac:dyDescent="0.3">
      <c r="A338" s="2" t="s">
        <v>363</v>
      </c>
      <c r="B338" s="2">
        <v>58.5</v>
      </c>
      <c r="C338" s="2">
        <v>3.91</v>
      </c>
      <c r="D338" s="2">
        <v>228.8</v>
      </c>
      <c r="E338" s="6">
        <f>_xlfn.RANK.EQ(C338,C:C,0)</f>
        <v>382</v>
      </c>
      <c r="F338" s="6">
        <f>_xlfn.RANK.EQ(D338,D:D,0)</f>
        <v>223</v>
      </c>
      <c r="G338" s="2">
        <f>E338*0.7+F338*0.3</f>
        <v>334.29999999999995</v>
      </c>
      <c r="H338" s="7">
        <v>337</v>
      </c>
    </row>
    <row r="339" spans="1:8" ht="12.45" customHeight="1" x14ac:dyDescent="0.3">
      <c r="A339" s="2" t="s">
        <v>362</v>
      </c>
      <c r="B339" s="2">
        <v>53</v>
      </c>
      <c r="C339" s="2">
        <v>4.01</v>
      </c>
      <c r="D339" s="2">
        <v>212.3</v>
      </c>
      <c r="E339" s="6">
        <f>_xlfn.RANK.EQ(C339,C:C,0)</f>
        <v>319</v>
      </c>
      <c r="F339" s="6">
        <f>_xlfn.RANK.EQ(D339,D:D,0)</f>
        <v>371</v>
      </c>
      <c r="G339" s="2">
        <f>E339*0.7+F339*0.3</f>
        <v>334.59999999999997</v>
      </c>
      <c r="H339" s="7">
        <v>338</v>
      </c>
    </row>
    <row r="340" spans="1:8" ht="12.45" customHeight="1" x14ac:dyDescent="0.3">
      <c r="A340" s="2" t="s">
        <v>364</v>
      </c>
      <c r="B340" s="2">
        <v>49.5</v>
      </c>
      <c r="C340" s="2">
        <v>4.07</v>
      </c>
      <c r="D340" s="2">
        <v>201.25</v>
      </c>
      <c r="E340" s="6">
        <f>_xlfn.RANK.EQ(C340,C:C,0)</f>
        <v>284</v>
      </c>
      <c r="F340" s="6">
        <f>_xlfn.RANK.EQ(D340,D:D,0)</f>
        <v>453</v>
      </c>
      <c r="G340" s="2">
        <f>E340*0.7+F340*0.3</f>
        <v>334.7</v>
      </c>
      <c r="H340" s="7">
        <v>339</v>
      </c>
    </row>
    <row r="341" spans="1:8" ht="12.45" customHeight="1" x14ac:dyDescent="0.3">
      <c r="A341" s="2" t="s">
        <v>365</v>
      </c>
      <c r="B341" s="2">
        <v>59</v>
      </c>
      <c r="C341" s="2">
        <v>3.9</v>
      </c>
      <c r="D341" s="2">
        <v>229.85</v>
      </c>
      <c r="E341" s="6">
        <f>_xlfn.RANK.EQ(C341,C:C,0)</f>
        <v>389</v>
      </c>
      <c r="F341" s="6">
        <f>_xlfn.RANK.EQ(D341,D:D,0)</f>
        <v>211</v>
      </c>
      <c r="G341" s="2">
        <f>E341*0.7+F341*0.3</f>
        <v>335.59999999999997</v>
      </c>
      <c r="H341" s="7">
        <v>340</v>
      </c>
    </row>
    <row r="342" spans="1:8" ht="12.45" customHeight="1" x14ac:dyDescent="0.3">
      <c r="A342" s="2" t="s">
        <v>366</v>
      </c>
      <c r="B342" s="2">
        <v>54</v>
      </c>
      <c r="C342" s="2">
        <v>3.99</v>
      </c>
      <c r="D342" s="2">
        <v>215.55</v>
      </c>
      <c r="E342" s="6">
        <f>_xlfn.RANK.EQ(C342,C:C,0)</f>
        <v>332</v>
      </c>
      <c r="F342" s="6">
        <f>_xlfn.RANK.EQ(D342,D:D,0)</f>
        <v>345</v>
      </c>
      <c r="G342" s="2">
        <f>E342*0.7+F342*0.3</f>
        <v>335.9</v>
      </c>
      <c r="H342" s="7">
        <v>341</v>
      </c>
    </row>
    <row r="343" spans="1:8" ht="12.45" customHeight="1" x14ac:dyDescent="0.3">
      <c r="A343" s="2" t="s">
        <v>367</v>
      </c>
      <c r="B343" s="2">
        <v>52</v>
      </c>
      <c r="C343" s="2">
        <v>4.03</v>
      </c>
      <c r="D343" s="2">
        <v>209.45</v>
      </c>
      <c r="E343" s="6">
        <f>_xlfn.RANK.EQ(C343,C:C,0)</f>
        <v>311</v>
      </c>
      <c r="F343" s="6">
        <f>_xlfn.RANK.EQ(D343,D:D,0)</f>
        <v>394</v>
      </c>
      <c r="G343" s="2">
        <f>E343*0.7+F343*0.3</f>
        <v>335.9</v>
      </c>
      <c r="H343" s="7">
        <v>341</v>
      </c>
    </row>
    <row r="344" spans="1:8" ht="12.45" customHeight="1" x14ac:dyDescent="0.3">
      <c r="A344" s="2" t="s">
        <v>368</v>
      </c>
      <c r="B344" s="2">
        <v>57</v>
      </c>
      <c r="C344" s="2">
        <v>3.94</v>
      </c>
      <c r="D344" s="2">
        <v>224.85</v>
      </c>
      <c r="E344" s="6">
        <f>_xlfn.RANK.EQ(C344,C:C,0)</f>
        <v>368</v>
      </c>
      <c r="F344" s="6">
        <f>_xlfn.RANK.EQ(D344,D:D,0)</f>
        <v>263</v>
      </c>
      <c r="G344" s="2">
        <f>E344*0.7+F344*0.3</f>
        <v>336.49999999999994</v>
      </c>
      <c r="H344" s="7">
        <v>343</v>
      </c>
    </row>
    <row r="345" spans="1:8" ht="12.45" customHeight="1" x14ac:dyDescent="0.3">
      <c r="A345" s="2" t="s">
        <v>369</v>
      </c>
      <c r="B345" s="2">
        <v>57</v>
      </c>
      <c r="C345" s="2">
        <v>3.94</v>
      </c>
      <c r="D345" s="2">
        <v>224.35</v>
      </c>
      <c r="E345" s="6">
        <f>_xlfn.RANK.EQ(C345,C:C,0)</f>
        <v>368</v>
      </c>
      <c r="F345" s="6">
        <f>_xlfn.RANK.EQ(D345,D:D,0)</f>
        <v>266</v>
      </c>
      <c r="G345" s="2">
        <f>E345*0.7+F345*0.3</f>
        <v>337.4</v>
      </c>
      <c r="H345" s="7">
        <v>344</v>
      </c>
    </row>
    <row r="346" spans="1:8" ht="12.45" customHeight="1" x14ac:dyDescent="0.3">
      <c r="A346" s="2" t="s">
        <v>370</v>
      </c>
      <c r="B346" s="2">
        <v>54</v>
      </c>
      <c r="C346" s="2">
        <v>3.99</v>
      </c>
      <c r="D346" s="2">
        <v>215.2</v>
      </c>
      <c r="E346" s="6">
        <f>_xlfn.RANK.EQ(C346,C:C,0)</f>
        <v>332</v>
      </c>
      <c r="F346" s="6">
        <f>_xlfn.RANK.EQ(D346,D:D,0)</f>
        <v>351</v>
      </c>
      <c r="G346" s="2">
        <f>E346*0.7+F346*0.3</f>
        <v>337.7</v>
      </c>
      <c r="H346" s="7">
        <v>345</v>
      </c>
    </row>
    <row r="347" spans="1:8" ht="12.45" customHeight="1" x14ac:dyDescent="0.3">
      <c r="A347" s="2" t="s">
        <v>371</v>
      </c>
      <c r="B347" s="2">
        <v>56.5</v>
      </c>
      <c r="C347" s="2">
        <v>3.95</v>
      </c>
      <c r="D347" s="2">
        <v>222.9</v>
      </c>
      <c r="E347" s="6">
        <f>_xlfn.RANK.EQ(C347,C:C,0)</f>
        <v>363</v>
      </c>
      <c r="F347" s="6">
        <f>_xlfn.RANK.EQ(D347,D:D,0)</f>
        <v>281</v>
      </c>
      <c r="G347" s="2">
        <f>E347*0.7+F347*0.3</f>
        <v>338.4</v>
      </c>
      <c r="H347" s="7">
        <v>346</v>
      </c>
    </row>
    <row r="348" spans="1:8" ht="12.45" customHeight="1" x14ac:dyDescent="0.3">
      <c r="A348" s="2" t="s">
        <v>372</v>
      </c>
      <c r="B348" s="2">
        <v>53</v>
      </c>
      <c r="C348" s="2">
        <v>4</v>
      </c>
      <c r="D348" s="2">
        <v>212.1</v>
      </c>
      <c r="E348" s="6">
        <f>_xlfn.RANK.EQ(C348,C:C,0)</f>
        <v>323</v>
      </c>
      <c r="F348" s="6">
        <f>_xlfn.RANK.EQ(D348,D:D,0)</f>
        <v>375</v>
      </c>
      <c r="G348" s="2">
        <f>E348*0.7+F348*0.3</f>
        <v>338.6</v>
      </c>
      <c r="H348" s="7">
        <v>347</v>
      </c>
    </row>
    <row r="349" spans="1:8" ht="12.45" customHeight="1" x14ac:dyDescent="0.3">
      <c r="A349" s="2" t="s">
        <v>380</v>
      </c>
      <c r="B349" s="2">
        <v>52</v>
      </c>
      <c r="C349" s="2">
        <v>4.0199999999999996</v>
      </c>
      <c r="D349" s="2">
        <v>209.2</v>
      </c>
      <c r="E349" s="6">
        <f>_xlfn.RANK.EQ(C349,C:C,0)</f>
        <v>313</v>
      </c>
      <c r="F349" s="6">
        <f>_xlfn.RANK.EQ(D349,D:D,0)</f>
        <v>400</v>
      </c>
      <c r="G349" s="2">
        <f>E349*0.7+F349*0.3</f>
        <v>339.1</v>
      </c>
      <c r="H349" s="7">
        <v>348</v>
      </c>
    </row>
    <row r="350" spans="1:8" ht="12.45" customHeight="1" x14ac:dyDescent="0.3">
      <c r="A350" s="2" t="s">
        <v>373</v>
      </c>
      <c r="B350" s="2">
        <v>56</v>
      </c>
      <c r="C350" s="2">
        <v>3.87</v>
      </c>
      <c r="D350" s="2">
        <v>231.9</v>
      </c>
      <c r="E350" s="6">
        <f>_xlfn.RANK.EQ(C350,C:C,0)</f>
        <v>402</v>
      </c>
      <c r="F350" s="6">
        <f>_xlfn.RANK.EQ(D350,D:D,0)</f>
        <v>193</v>
      </c>
      <c r="G350" s="2">
        <f>E350*0.7+F350*0.3</f>
        <v>339.29999999999995</v>
      </c>
      <c r="H350" s="7">
        <v>349</v>
      </c>
    </row>
    <row r="351" spans="1:8" ht="12.45" customHeight="1" x14ac:dyDescent="0.3">
      <c r="A351" s="2" t="s">
        <v>374</v>
      </c>
      <c r="B351" s="2">
        <v>55</v>
      </c>
      <c r="C351" s="2">
        <v>3.97</v>
      </c>
      <c r="D351" s="2">
        <v>218.15</v>
      </c>
      <c r="E351" s="6">
        <f>_xlfn.RANK.EQ(C351,C:C,0)</f>
        <v>348</v>
      </c>
      <c r="F351" s="6">
        <f>_xlfn.RANK.EQ(D351,D:D,0)</f>
        <v>321</v>
      </c>
      <c r="G351" s="2">
        <f>E351*0.7+F351*0.3</f>
        <v>339.9</v>
      </c>
      <c r="H351" s="7">
        <v>350</v>
      </c>
    </row>
    <row r="352" spans="1:8" ht="12.45" customHeight="1" x14ac:dyDescent="0.3">
      <c r="A352" s="2" t="s">
        <v>375</v>
      </c>
      <c r="B352" s="2">
        <v>54.5</v>
      </c>
      <c r="C352" s="2">
        <v>3.98</v>
      </c>
      <c r="D352" s="2">
        <v>216.75</v>
      </c>
      <c r="E352" s="6">
        <f>_xlfn.RANK.EQ(C352,C:C,0)</f>
        <v>343</v>
      </c>
      <c r="F352" s="6">
        <f>_xlfn.RANK.EQ(D352,D:D,0)</f>
        <v>336</v>
      </c>
      <c r="G352" s="2">
        <f>E352*0.7+F352*0.3</f>
        <v>340.9</v>
      </c>
      <c r="H352" s="7">
        <v>351</v>
      </c>
    </row>
    <row r="353" spans="1:8" ht="12.45" customHeight="1" x14ac:dyDescent="0.3">
      <c r="A353" s="2" t="s">
        <v>376</v>
      </c>
      <c r="B353" s="2">
        <v>60.5</v>
      </c>
      <c r="C353" s="2">
        <v>3.85</v>
      </c>
      <c r="D353" s="2">
        <v>232.85</v>
      </c>
      <c r="E353" s="6">
        <f>_xlfn.RANK.EQ(C353,C:C,0)</f>
        <v>410</v>
      </c>
      <c r="F353" s="6">
        <f>_xlfn.RANK.EQ(D353,D:D,0)</f>
        <v>185</v>
      </c>
      <c r="G353" s="2">
        <f>E353*0.7+F353*0.3</f>
        <v>342.5</v>
      </c>
      <c r="H353" s="7">
        <v>352</v>
      </c>
    </row>
    <row r="354" spans="1:8" ht="12.45" customHeight="1" x14ac:dyDescent="0.3">
      <c r="A354" s="2" t="s">
        <v>377</v>
      </c>
      <c r="B354" s="2">
        <v>57</v>
      </c>
      <c r="C354" s="2">
        <v>3.93</v>
      </c>
      <c r="D354" s="2">
        <v>223.9</v>
      </c>
      <c r="E354" s="6">
        <f>_xlfn.RANK.EQ(C354,C:C,0)</f>
        <v>373</v>
      </c>
      <c r="F354" s="6">
        <f>_xlfn.RANK.EQ(D354,D:D,0)</f>
        <v>272</v>
      </c>
      <c r="G354" s="2">
        <f>E354*0.7+F354*0.3</f>
        <v>342.69999999999993</v>
      </c>
      <c r="H354" s="7">
        <v>353</v>
      </c>
    </row>
    <row r="355" spans="1:8" ht="12.45" customHeight="1" x14ac:dyDescent="0.3">
      <c r="A355" s="2" t="s">
        <v>378</v>
      </c>
      <c r="B355" s="2">
        <v>51.5</v>
      </c>
      <c r="C355" s="2">
        <v>4.0199999999999996</v>
      </c>
      <c r="D355" s="2">
        <v>207.15</v>
      </c>
      <c r="E355" s="6">
        <f>_xlfn.RANK.EQ(C355,C:C,0)</f>
        <v>313</v>
      </c>
      <c r="F355" s="6">
        <f>_xlfn.RANK.EQ(D355,D:D,0)</f>
        <v>414</v>
      </c>
      <c r="G355" s="2">
        <f>E355*0.7+F355*0.3</f>
        <v>343.29999999999995</v>
      </c>
      <c r="H355" s="7">
        <v>354</v>
      </c>
    </row>
    <row r="356" spans="1:8" ht="12.45" customHeight="1" x14ac:dyDescent="0.3">
      <c r="A356" s="2" t="s">
        <v>379</v>
      </c>
      <c r="B356" s="2">
        <v>51.5</v>
      </c>
      <c r="C356" s="2">
        <v>4.0199999999999996</v>
      </c>
      <c r="D356" s="2">
        <v>207</v>
      </c>
      <c r="E356" s="6">
        <f>_xlfn.RANK.EQ(C356,C:C,0)</f>
        <v>313</v>
      </c>
      <c r="F356" s="6">
        <f>_xlfn.RANK.EQ(D356,D:D,0)</f>
        <v>415</v>
      </c>
      <c r="G356" s="2">
        <f>E356*0.7+F356*0.3</f>
        <v>343.6</v>
      </c>
      <c r="H356" s="7">
        <v>355</v>
      </c>
    </row>
    <row r="357" spans="1:8" ht="12.45" customHeight="1" x14ac:dyDescent="0.3">
      <c r="A357" s="2" t="s">
        <v>381</v>
      </c>
      <c r="B357" s="2">
        <v>50</v>
      </c>
      <c r="C357" s="2">
        <v>4.04</v>
      </c>
      <c r="D357" s="2">
        <v>201.95</v>
      </c>
      <c r="E357" s="6">
        <f>_xlfn.RANK.EQ(C357,C:C,0)</f>
        <v>302</v>
      </c>
      <c r="F357" s="6">
        <f>_xlfn.RANK.EQ(D357,D:D,0)</f>
        <v>447</v>
      </c>
      <c r="G357" s="2">
        <f>E357*0.7+F357*0.3</f>
        <v>345.5</v>
      </c>
      <c r="H357" s="7">
        <v>356</v>
      </c>
    </row>
    <row r="358" spans="1:8" ht="12.45" customHeight="1" x14ac:dyDescent="0.3">
      <c r="A358" s="2" t="s">
        <v>382</v>
      </c>
      <c r="B358" s="2">
        <v>54</v>
      </c>
      <c r="C358" s="2">
        <v>3.98</v>
      </c>
      <c r="D358" s="2">
        <v>215</v>
      </c>
      <c r="E358" s="6">
        <f>_xlfn.RANK.EQ(C358,C:C,0)</f>
        <v>343</v>
      </c>
      <c r="F358" s="6">
        <f>_xlfn.RANK.EQ(D358,D:D,0)</f>
        <v>353</v>
      </c>
      <c r="G358" s="2">
        <f>E358*0.7+F358*0.3</f>
        <v>346</v>
      </c>
      <c r="H358" s="7">
        <v>357</v>
      </c>
    </row>
    <row r="359" spans="1:8" ht="12.45" customHeight="1" x14ac:dyDescent="0.3">
      <c r="A359" s="2" t="s">
        <v>383</v>
      </c>
      <c r="B359" s="2">
        <v>56.5</v>
      </c>
      <c r="C359" s="2">
        <v>3.93</v>
      </c>
      <c r="D359" s="2">
        <v>222.1</v>
      </c>
      <c r="E359" s="6">
        <f>_xlfn.RANK.EQ(C359,C:C,0)</f>
        <v>373</v>
      </c>
      <c r="F359" s="6">
        <f>_xlfn.RANK.EQ(D359,D:D,0)</f>
        <v>286</v>
      </c>
      <c r="G359" s="2">
        <f>E359*0.7+F359*0.3</f>
        <v>346.9</v>
      </c>
      <c r="H359" s="7">
        <v>358</v>
      </c>
    </row>
    <row r="360" spans="1:8" ht="12.45" customHeight="1" x14ac:dyDescent="0.3">
      <c r="A360" s="2" t="s">
        <v>384</v>
      </c>
      <c r="B360" s="2">
        <v>54</v>
      </c>
      <c r="C360" s="2">
        <v>3.98</v>
      </c>
      <c r="D360" s="2">
        <v>214.8</v>
      </c>
      <c r="E360" s="6">
        <f>_xlfn.RANK.EQ(C360,C:C,0)</f>
        <v>343</v>
      </c>
      <c r="F360" s="6">
        <f>_xlfn.RANK.EQ(D360,D:D,0)</f>
        <v>356</v>
      </c>
      <c r="G360" s="2">
        <f>E360*0.7+F360*0.3</f>
        <v>346.9</v>
      </c>
      <c r="H360" s="7">
        <v>358</v>
      </c>
    </row>
    <row r="361" spans="1:8" ht="12.45" customHeight="1" x14ac:dyDescent="0.3">
      <c r="A361" s="2" t="s">
        <v>385</v>
      </c>
      <c r="B361" s="2">
        <v>57</v>
      </c>
      <c r="C361" s="2">
        <v>3.92</v>
      </c>
      <c r="D361" s="2">
        <v>223.65</v>
      </c>
      <c r="E361" s="6">
        <f>_xlfn.RANK.EQ(C361,C:C,0)</f>
        <v>379</v>
      </c>
      <c r="F361" s="6">
        <f>_xlfn.RANK.EQ(D361,D:D,0)</f>
        <v>276</v>
      </c>
      <c r="G361" s="2">
        <f>E361*0.7+F361*0.3</f>
        <v>348.1</v>
      </c>
      <c r="H361" s="7">
        <v>360</v>
      </c>
    </row>
    <row r="362" spans="1:8" ht="12.45" customHeight="1" x14ac:dyDescent="0.3">
      <c r="A362" s="2" t="s">
        <v>386</v>
      </c>
      <c r="B362" s="2">
        <v>52</v>
      </c>
      <c r="C362" s="2">
        <v>4</v>
      </c>
      <c r="D362" s="2">
        <v>207.75</v>
      </c>
      <c r="E362" s="6">
        <f>_xlfn.RANK.EQ(C362,C:C,0)</f>
        <v>323</v>
      </c>
      <c r="F362" s="6">
        <f>_xlfn.RANK.EQ(D362,D:D,0)</f>
        <v>409</v>
      </c>
      <c r="G362" s="2">
        <f>E362*0.7+F362*0.3</f>
        <v>348.79999999999995</v>
      </c>
      <c r="H362" s="7">
        <v>361</v>
      </c>
    </row>
    <row r="363" spans="1:8" ht="12.45" customHeight="1" x14ac:dyDescent="0.3">
      <c r="A363" s="2" t="s">
        <v>387</v>
      </c>
      <c r="B363" s="2">
        <v>49.5</v>
      </c>
      <c r="C363" s="2">
        <v>4.04</v>
      </c>
      <c r="D363" s="2">
        <v>199.9</v>
      </c>
      <c r="E363" s="6">
        <f>_xlfn.RANK.EQ(C363,C:C,0)</f>
        <v>302</v>
      </c>
      <c r="F363" s="6">
        <f>_xlfn.RANK.EQ(D363,D:D,0)</f>
        <v>464</v>
      </c>
      <c r="G363" s="2">
        <f>E363*0.7+F363*0.3</f>
        <v>350.59999999999997</v>
      </c>
      <c r="H363" s="7">
        <v>362</v>
      </c>
    </row>
    <row r="364" spans="1:8" ht="12.45" customHeight="1" x14ac:dyDescent="0.3">
      <c r="A364" s="2" t="s">
        <v>388</v>
      </c>
      <c r="B364" s="2">
        <v>55.5</v>
      </c>
      <c r="C364" s="2">
        <v>3.96</v>
      </c>
      <c r="D364" s="2">
        <v>216</v>
      </c>
      <c r="E364" s="6">
        <f>_xlfn.RANK.EQ(C364,C:C,0)</f>
        <v>355</v>
      </c>
      <c r="F364" s="6">
        <f>_xlfn.RANK.EQ(D364,D:D,0)</f>
        <v>341</v>
      </c>
      <c r="G364" s="2">
        <f>E364*0.7+F364*0.3</f>
        <v>350.79999999999995</v>
      </c>
      <c r="H364" s="7">
        <v>363</v>
      </c>
    </row>
    <row r="365" spans="1:8" ht="12.45" customHeight="1" x14ac:dyDescent="0.3">
      <c r="A365" s="2" t="s">
        <v>389</v>
      </c>
      <c r="B365" s="2">
        <v>54</v>
      </c>
      <c r="C365" s="2">
        <v>3.97</v>
      </c>
      <c r="D365" s="2">
        <v>214.2</v>
      </c>
      <c r="E365" s="6">
        <f>_xlfn.RANK.EQ(C365,C:C,0)</f>
        <v>348</v>
      </c>
      <c r="F365" s="6">
        <f>_xlfn.RANK.EQ(D365,D:D,0)</f>
        <v>359</v>
      </c>
      <c r="G365" s="2">
        <f>E365*0.7+F365*0.3</f>
        <v>351.3</v>
      </c>
      <c r="H365" s="7">
        <v>364</v>
      </c>
    </row>
    <row r="366" spans="1:8" ht="12.45" customHeight="1" x14ac:dyDescent="0.3">
      <c r="A366" s="2" t="s">
        <v>390</v>
      </c>
      <c r="B366" s="2">
        <v>51.5</v>
      </c>
      <c r="C366" s="2">
        <v>4</v>
      </c>
      <c r="D366" s="2">
        <v>206.1</v>
      </c>
      <c r="E366" s="6">
        <f>_xlfn.RANK.EQ(C366,C:C,0)</f>
        <v>323</v>
      </c>
      <c r="F366" s="6">
        <f>_xlfn.RANK.EQ(D366,D:D,0)</f>
        <v>420</v>
      </c>
      <c r="G366" s="2">
        <f>E366*0.7+F366*0.3</f>
        <v>352.1</v>
      </c>
      <c r="H366" s="7">
        <v>365</v>
      </c>
    </row>
    <row r="367" spans="1:8" ht="12.45" customHeight="1" x14ac:dyDescent="0.3">
      <c r="A367" s="2" t="s">
        <v>391</v>
      </c>
      <c r="B367" s="2">
        <v>59</v>
      </c>
      <c r="C367" s="2">
        <v>3.86</v>
      </c>
      <c r="D367" s="2">
        <v>227.75</v>
      </c>
      <c r="E367" s="6">
        <f>_xlfn.RANK.EQ(C367,C:C,0)</f>
        <v>406</v>
      </c>
      <c r="F367" s="6">
        <f>_xlfn.RANK.EQ(D367,D:D,0)</f>
        <v>232</v>
      </c>
      <c r="G367" s="2">
        <f>E367*0.7+F367*0.3</f>
        <v>353.79999999999995</v>
      </c>
      <c r="H367" s="7">
        <v>366</v>
      </c>
    </row>
    <row r="368" spans="1:8" ht="12.45" customHeight="1" x14ac:dyDescent="0.3">
      <c r="A368" s="2" t="s">
        <v>392</v>
      </c>
      <c r="B368" s="2">
        <v>55</v>
      </c>
      <c r="C368" s="2">
        <v>3.95</v>
      </c>
      <c r="D368" s="2">
        <v>217.2</v>
      </c>
      <c r="E368" s="6">
        <f>_xlfn.RANK.EQ(C368,C:C,0)</f>
        <v>363</v>
      </c>
      <c r="F368" s="6">
        <f>_xlfn.RANK.EQ(D368,D:D,0)</f>
        <v>333</v>
      </c>
      <c r="G368" s="2">
        <f>E368*0.7+F368*0.3</f>
        <v>354</v>
      </c>
      <c r="H368" s="7">
        <v>367</v>
      </c>
    </row>
    <row r="369" spans="1:8" ht="12.45" customHeight="1" x14ac:dyDescent="0.3">
      <c r="A369" s="2" t="s">
        <v>393</v>
      </c>
      <c r="B369" s="2">
        <v>55.5</v>
      </c>
      <c r="C369" s="2">
        <v>3.93</v>
      </c>
      <c r="D369" s="2">
        <v>218.3</v>
      </c>
      <c r="E369" s="6">
        <f>_xlfn.RANK.EQ(C369,C:C,0)</f>
        <v>373</v>
      </c>
      <c r="F369" s="6">
        <f>_xlfn.RANK.EQ(D369,D:D,0)</f>
        <v>319</v>
      </c>
      <c r="G369" s="2">
        <f>E369*0.7+F369*0.3</f>
        <v>356.79999999999995</v>
      </c>
      <c r="H369" s="7">
        <v>368</v>
      </c>
    </row>
    <row r="370" spans="1:8" ht="12.45" customHeight="1" x14ac:dyDescent="0.3">
      <c r="A370" s="2" t="s">
        <v>395</v>
      </c>
      <c r="B370" s="2">
        <v>55.5</v>
      </c>
      <c r="C370" s="2">
        <v>3.93</v>
      </c>
      <c r="D370" s="2">
        <v>218.1</v>
      </c>
      <c r="E370" s="6">
        <f>_xlfn.RANK.EQ(C370,C:C,0)</f>
        <v>373</v>
      </c>
      <c r="F370" s="6">
        <f>_xlfn.RANK.EQ(D370,D:D,0)</f>
        <v>323</v>
      </c>
      <c r="G370" s="2">
        <f>E370*0.7+F370*0.3</f>
        <v>357.99999999999994</v>
      </c>
      <c r="H370" s="7">
        <v>369</v>
      </c>
    </row>
    <row r="371" spans="1:8" ht="12.45" customHeight="1" x14ac:dyDescent="0.3">
      <c r="A371" s="2" t="s">
        <v>396</v>
      </c>
      <c r="B371" s="2">
        <v>55.5</v>
      </c>
      <c r="C371" s="2">
        <v>3.93</v>
      </c>
      <c r="D371" s="2">
        <v>218.1</v>
      </c>
      <c r="E371" s="6">
        <f>_xlfn.RANK.EQ(C371,C:C,0)</f>
        <v>373</v>
      </c>
      <c r="F371" s="6">
        <f>_xlfn.RANK.EQ(D371,D:D,0)</f>
        <v>323</v>
      </c>
      <c r="G371" s="2">
        <f>E371*0.7+F371*0.3</f>
        <v>357.99999999999994</v>
      </c>
      <c r="H371" s="7">
        <v>369</v>
      </c>
    </row>
    <row r="372" spans="1:8" ht="12.45" customHeight="1" x14ac:dyDescent="0.3">
      <c r="A372" s="2" t="s">
        <v>394</v>
      </c>
      <c r="B372" s="2">
        <v>61</v>
      </c>
      <c r="C372" s="2">
        <v>3.81</v>
      </c>
      <c r="D372" s="2">
        <v>232.25</v>
      </c>
      <c r="E372" s="6">
        <f>_xlfn.RANK.EQ(C372,C:C,0)</f>
        <v>430</v>
      </c>
      <c r="F372" s="6">
        <f>_xlfn.RANK.EQ(D372,D:D,0)</f>
        <v>190</v>
      </c>
      <c r="G372" s="2">
        <f>E372*0.7+F372*0.3</f>
        <v>358</v>
      </c>
      <c r="H372" s="7">
        <v>369</v>
      </c>
    </row>
    <row r="373" spans="1:8" ht="12.45" customHeight="1" x14ac:dyDescent="0.3">
      <c r="A373" s="2" t="s">
        <v>397</v>
      </c>
      <c r="B373" s="2">
        <v>51.5</v>
      </c>
      <c r="C373" s="2">
        <v>3.99</v>
      </c>
      <c r="D373" s="2">
        <v>205.65</v>
      </c>
      <c r="E373" s="6">
        <f>_xlfn.RANK.EQ(C373,C:C,0)</f>
        <v>332</v>
      </c>
      <c r="F373" s="6">
        <f>_xlfn.RANK.EQ(D373,D:D,0)</f>
        <v>422</v>
      </c>
      <c r="G373" s="2">
        <f>E373*0.7+F373*0.3</f>
        <v>359</v>
      </c>
      <c r="H373" s="7">
        <v>372</v>
      </c>
    </row>
    <row r="374" spans="1:8" ht="12.45" customHeight="1" x14ac:dyDescent="0.3">
      <c r="A374" s="2" t="s">
        <v>398</v>
      </c>
      <c r="B374" s="2">
        <v>54.5</v>
      </c>
      <c r="C374" s="2">
        <v>3.95</v>
      </c>
      <c r="D374" s="2">
        <v>215.15</v>
      </c>
      <c r="E374" s="6">
        <f>_xlfn.RANK.EQ(C374,C:C,0)</f>
        <v>363</v>
      </c>
      <c r="F374" s="6">
        <f>_xlfn.RANK.EQ(D374,D:D,0)</f>
        <v>352</v>
      </c>
      <c r="G374" s="2">
        <f>E374*0.7+F374*0.3</f>
        <v>359.7</v>
      </c>
      <c r="H374" s="7">
        <v>373</v>
      </c>
    </row>
    <row r="375" spans="1:8" ht="12.45" customHeight="1" x14ac:dyDescent="0.3">
      <c r="A375" s="2" t="s">
        <v>399</v>
      </c>
      <c r="B375" s="2">
        <v>48</v>
      </c>
      <c r="C375" s="2">
        <v>4.04</v>
      </c>
      <c r="D375" s="2">
        <v>194.1</v>
      </c>
      <c r="E375" s="6">
        <f>_xlfn.RANK.EQ(C375,C:C,0)</f>
        <v>302</v>
      </c>
      <c r="F375" s="6">
        <f>_xlfn.RANK.EQ(D375,D:D,0)</f>
        <v>497</v>
      </c>
      <c r="G375" s="2">
        <f>E375*0.7+F375*0.3</f>
        <v>360.5</v>
      </c>
      <c r="H375" s="7">
        <v>374</v>
      </c>
    </row>
    <row r="376" spans="1:8" ht="12.45" customHeight="1" x14ac:dyDescent="0.3">
      <c r="A376" s="2" t="s">
        <v>400</v>
      </c>
      <c r="B376" s="2">
        <v>53.5</v>
      </c>
      <c r="C376" s="2">
        <v>3.96</v>
      </c>
      <c r="D376" s="2">
        <v>211.8</v>
      </c>
      <c r="E376" s="6">
        <f>_xlfn.RANK.EQ(C376,C:C,0)</f>
        <v>355</v>
      </c>
      <c r="F376" s="6">
        <f>_xlfn.RANK.EQ(D376,D:D,0)</f>
        <v>376</v>
      </c>
      <c r="G376" s="2">
        <f>E376*0.7+F376*0.3</f>
        <v>361.29999999999995</v>
      </c>
      <c r="H376" s="7">
        <v>375</v>
      </c>
    </row>
    <row r="377" spans="1:8" ht="12.45" customHeight="1" x14ac:dyDescent="0.3">
      <c r="A377" s="2" t="s">
        <v>401</v>
      </c>
      <c r="B377" s="2">
        <v>56.5</v>
      </c>
      <c r="C377" s="2">
        <v>3.9</v>
      </c>
      <c r="D377" s="2">
        <v>220.35</v>
      </c>
      <c r="E377" s="6">
        <f>_xlfn.RANK.EQ(C377,C:C,0)</f>
        <v>389</v>
      </c>
      <c r="F377" s="6">
        <f>_xlfn.RANK.EQ(D377,D:D,0)</f>
        <v>302</v>
      </c>
      <c r="G377" s="2">
        <f>E377*0.7+F377*0.3</f>
        <v>362.9</v>
      </c>
      <c r="H377" s="7">
        <v>376</v>
      </c>
    </row>
    <row r="378" spans="1:8" ht="12.45" customHeight="1" x14ac:dyDescent="0.3">
      <c r="A378" s="2" t="s">
        <v>402</v>
      </c>
      <c r="B378" s="2">
        <v>53</v>
      </c>
      <c r="C378" s="2">
        <v>3.96</v>
      </c>
      <c r="D378" s="2">
        <v>210</v>
      </c>
      <c r="E378" s="6">
        <f>_xlfn.RANK.EQ(C378,C:C,0)</f>
        <v>355</v>
      </c>
      <c r="F378" s="6">
        <f>_xlfn.RANK.EQ(D378,D:D,0)</f>
        <v>387</v>
      </c>
      <c r="G378" s="2">
        <f>E378*0.7+F378*0.3</f>
        <v>364.59999999999997</v>
      </c>
      <c r="H378" s="7">
        <v>377</v>
      </c>
    </row>
    <row r="379" spans="1:8" ht="12.45" customHeight="1" x14ac:dyDescent="0.3">
      <c r="A379" s="2" t="s">
        <v>403</v>
      </c>
      <c r="B379" s="2">
        <v>51</v>
      </c>
      <c r="C379" s="2">
        <v>3.99</v>
      </c>
      <c r="D379" s="2">
        <v>203.25</v>
      </c>
      <c r="E379" s="6">
        <f>_xlfn.RANK.EQ(C379,C:C,0)</f>
        <v>332</v>
      </c>
      <c r="F379" s="6">
        <f>_xlfn.RANK.EQ(D379,D:D,0)</f>
        <v>442</v>
      </c>
      <c r="G379" s="2">
        <f>E379*0.7+F379*0.3</f>
        <v>365</v>
      </c>
      <c r="H379" s="7">
        <v>378</v>
      </c>
    </row>
    <row r="380" spans="1:8" ht="12.45" customHeight="1" x14ac:dyDescent="0.3">
      <c r="A380" s="2" t="s">
        <v>404</v>
      </c>
      <c r="B380" s="2">
        <v>50.5</v>
      </c>
      <c r="C380" s="2">
        <v>3.99</v>
      </c>
      <c r="D380" s="2">
        <v>201.4</v>
      </c>
      <c r="E380" s="6">
        <f>_xlfn.RANK.EQ(C380,C:C,0)</f>
        <v>332</v>
      </c>
      <c r="F380" s="6">
        <f>_xlfn.RANK.EQ(D380,D:D,0)</f>
        <v>451</v>
      </c>
      <c r="G380" s="2">
        <f>E380*0.7+F380*0.3</f>
        <v>367.69999999999993</v>
      </c>
      <c r="H380" s="7">
        <v>379</v>
      </c>
    </row>
    <row r="381" spans="1:8" ht="12.45" customHeight="1" x14ac:dyDescent="0.3">
      <c r="A381" s="2" t="s">
        <v>405</v>
      </c>
      <c r="B381" s="2">
        <v>55.5</v>
      </c>
      <c r="C381" s="2">
        <v>3.91</v>
      </c>
      <c r="D381" s="2">
        <v>216.75</v>
      </c>
      <c r="E381" s="6">
        <f>_xlfn.RANK.EQ(C381,C:C,0)</f>
        <v>382</v>
      </c>
      <c r="F381" s="6">
        <f>_xlfn.RANK.EQ(D381,D:D,0)</f>
        <v>336</v>
      </c>
      <c r="G381" s="2">
        <f>E381*0.7+F381*0.3</f>
        <v>368.2</v>
      </c>
      <c r="H381" s="7">
        <v>380</v>
      </c>
    </row>
    <row r="382" spans="1:8" ht="12.45" customHeight="1" x14ac:dyDescent="0.3">
      <c r="A382" s="2" t="s">
        <v>406</v>
      </c>
      <c r="B382" s="2">
        <v>57.5</v>
      </c>
      <c r="C382" s="2">
        <v>3.86</v>
      </c>
      <c r="D382" s="2">
        <v>221.75</v>
      </c>
      <c r="E382" s="6">
        <f>_xlfn.RANK.EQ(C382,C:C,0)</f>
        <v>406</v>
      </c>
      <c r="F382" s="6">
        <f>_xlfn.RANK.EQ(D382,D:D,0)</f>
        <v>290</v>
      </c>
      <c r="G382" s="2">
        <f>E382*0.7+F382*0.3</f>
        <v>371.2</v>
      </c>
      <c r="H382" s="7">
        <v>381</v>
      </c>
    </row>
    <row r="383" spans="1:8" ht="12.45" customHeight="1" x14ac:dyDescent="0.3">
      <c r="A383" s="2" t="s">
        <v>407</v>
      </c>
      <c r="B383" s="2">
        <v>53.5</v>
      </c>
      <c r="C383" s="2">
        <v>3.94</v>
      </c>
      <c r="D383" s="2">
        <v>210.9</v>
      </c>
      <c r="E383" s="6">
        <f>_xlfn.RANK.EQ(C383,C:C,0)</f>
        <v>368</v>
      </c>
      <c r="F383" s="6">
        <f>_xlfn.RANK.EQ(D383,D:D,0)</f>
        <v>380</v>
      </c>
      <c r="G383" s="2">
        <f>E383*0.7+F383*0.3</f>
        <v>371.59999999999997</v>
      </c>
      <c r="H383" s="7">
        <v>382</v>
      </c>
    </row>
    <row r="384" spans="1:8" ht="12.45" customHeight="1" x14ac:dyDescent="0.3">
      <c r="A384" s="2" t="s">
        <v>408</v>
      </c>
      <c r="B384" s="2">
        <v>53</v>
      </c>
      <c r="C384" s="2">
        <v>3.95</v>
      </c>
      <c r="D384" s="2">
        <v>209.45</v>
      </c>
      <c r="E384" s="6">
        <f>_xlfn.RANK.EQ(C384,C:C,0)</f>
        <v>363</v>
      </c>
      <c r="F384" s="6">
        <f>_xlfn.RANK.EQ(D384,D:D,0)</f>
        <v>394</v>
      </c>
      <c r="G384" s="2">
        <f>E384*0.7+F384*0.3</f>
        <v>372.29999999999995</v>
      </c>
      <c r="H384" s="7">
        <v>383</v>
      </c>
    </row>
    <row r="385" spans="1:8" ht="12.45" customHeight="1" x14ac:dyDescent="0.3">
      <c r="A385" s="2" t="s">
        <v>409</v>
      </c>
      <c r="B385" s="2">
        <v>51.5</v>
      </c>
      <c r="C385" s="2">
        <v>3.97</v>
      </c>
      <c r="D385" s="2">
        <v>204.5</v>
      </c>
      <c r="E385" s="6">
        <f>_xlfn.RANK.EQ(C385,C:C,0)</f>
        <v>348</v>
      </c>
      <c r="F385" s="6">
        <f>_xlfn.RANK.EQ(D385,D:D,0)</f>
        <v>429</v>
      </c>
      <c r="G385" s="2">
        <f>E385*0.7+F385*0.3</f>
        <v>372.29999999999995</v>
      </c>
      <c r="H385" s="7">
        <v>383</v>
      </c>
    </row>
    <row r="386" spans="1:8" ht="12.45" customHeight="1" x14ac:dyDescent="0.3">
      <c r="A386" s="2" t="s">
        <v>410</v>
      </c>
      <c r="B386" s="2">
        <v>55</v>
      </c>
      <c r="C386" s="2">
        <v>3.91</v>
      </c>
      <c r="D386" s="2">
        <v>215.3</v>
      </c>
      <c r="E386" s="6">
        <f>_xlfn.RANK.EQ(C386,C:C,0)</f>
        <v>382</v>
      </c>
      <c r="F386" s="6">
        <f>_xlfn.RANK.EQ(D386,D:D,0)</f>
        <v>350</v>
      </c>
      <c r="G386" s="2">
        <f>E386*0.7+F386*0.3</f>
        <v>372.4</v>
      </c>
      <c r="H386" s="7">
        <v>385</v>
      </c>
    </row>
    <row r="387" spans="1:8" ht="12.45" customHeight="1" x14ac:dyDescent="0.3">
      <c r="A387" s="2" t="s">
        <v>411</v>
      </c>
      <c r="B387" s="2">
        <v>53</v>
      </c>
      <c r="C387" s="2">
        <v>3.95</v>
      </c>
      <c r="D387" s="2">
        <v>209.25</v>
      </c>
      <c r="E387" s="6">
        <f>_xlfn.RANK.EQ(C387,C:C,0)</f>
        <v>363</v>
      </c>
      <c r="F387" s="6">
        <f>_xlfn.RANK.EQ(D387,D:D,0)</f>
        <v>397</v>
      </c>
      <c r="G387" s="2">
        <f>E387*0.7+F387*0.3</f>
        <v>373.2</v>
      </c>
      <c r="H387" s="7">
        <v>386</v>
      </c>
    </row>
    <row r="388" spans="1:8" ht="12.45" customHeight="1" x14ac:dyDescent="0.3">
      <c r="A388" s="2" t="s">
        <v>412</v>
      </c>
      <c r="B388" s="2">
        <v>54.5</v>
      </c>
      <c r="C388" s="2">
        <v>3.92</v>
      </c>
      <c r="D388" s="2">
        <v>213.55</v>
      </c>
      <c r="E388" s="6">
        <f>_xlfn.RANK.EQ(C388,C:C,0)</f>
        <v>379</v>
      </c>
      <c r="F388" s="6">
        <f>_xlfn.RANK.EQ(D388,D:D,0)</f>
        <v>362</v>
      </c>
      <c r="G388" s="2">
        <f>E388*0.7+F388*0.3</f>
        <v>373.9</v>
      </c>
      <c r="H388" s="7">
        <v>387</v>
      </c>
    </row>
    <row r="389" spans="1:8" ht="12.45" customHeight="1" x14ac:dyDescent="0.3">
      <c r="A389" s="2" t="s">
        <v>413</v>
      </c>
      <c r="B389" s="2">
        <v>54</v>
      </c>
      <c r="C389" s="2">
        <v>3.92</v>
      </c>
      <c r="D389" s="2">
        <v>211.8</v>
      </c>
      <c r="E389" s="6">
        <f>_xlfn.RANK.EQ(C389,C:C,0)</f>
        <v>379</v>
      </c>
      <c r="F389" s="6">
        <f>_xlfn.RANK.EQ(D389,D:D,0)</f>
        <v>376</v>
      </c>
      <c r="G389" s="2">
        <f>E389*0.7+F389*0.3</f>
        <v>378.1</v>
      </c>
      <c r="H389" s="7">
        <v>388</v>
      </c>
    </row>
    <row r="390" spans="1:8" ht="12.45" customHeight="1" x14ac:dyDescent="0.3">
      <c r="A390" s="2" t="s">
        <v>414</v>
      </c>
      <c r="B390" s="2">
        <v>57</v>
      </c>
      <c r="C390" s="2">
        <v>3.85</v>
      </c>
      <c r="D390" s="2">
        <v>219.65</v>
      </c>
      <c r="E390" s="6">
        <f>_xlfn.RANK.EQ(C390,C:C,0)</f>
        <v>410</v>
      </c>
      <c r="F390" s="6">
        <f>_xlfn.RANK.EQ(D390,D:D,0)</f>
        <v>308</v>
      </c>
      <c r="G390" s="2">
        <f>E390*0.7+F390*0.3</f>
        <v>379.4</v>
      </c>
      <c r="H390" s="7">
        <v>389</v>
      </c>
    </row>
    <row r="391" spans="1:8" ht="12.45" customHeight="1" x14ac:dyDescent="0.3">
      <c r="A391" s="2" t="s">
        <v>415</v>
      </c>
      <c r="B391" s="2">
        <v>56</v>
      </c>
      <c r="C391" s="2">
        <v>3.87</v>
      </c>
      <c r="D391" s="2">
        <v>216.9</v>
      </c>
      <c r="E391" s="6">
        <f>_xlfn.RANK.EQ(C391,C:C,0)</f>
        <v>402</v>
      </c>
      <c r="F391" s="6">
        <f>_xlfn.RANK.EQ(D391,D:D,0)</f>
        <v>335</v>
      </c>
      <c r="G391" s="2">
        <f>E391*0.7+F391*0.3</f>
        <v>381.9</v>
      </c>
      <c r="H391" s="7">
        <v>390</v>
      </c>
    </row>
    <row r="392" spans="1:8" ht="12.45" customHeight="1" x14ac:dyDescent="0.3">
      <c r="A392" s="2" t="s">
        <v>416</v>
      </c>
      <c r="B392" s="2">
        <v>55.5</v>
      </c>
      <c r="C392" s="2">
        <v>3.88</v>
      </c>
      <c r="D392" s="2">
        <v>215.45</v>
      </c>
      <c r="E392" s="6">
        <f>_xlfn.RANK.EQ(C392,C:C,0)</f>
        <v>400</v>
      </c>
      <c r="F392" s="6">
        <f>_xlfn.RANK.EQ(D392,D:D,0)</f>
        <v>347</v>
      </c>
      <c r="G392" s="2">
        <f>E392*0.7+F392*0.3</f>
        <v>384.1</v>
      </c>
      <c r="H392" s="7">
        <v>391</v>
      </c>
    </row>
    <row r="393" spans="1:8" ht="12.45" customHeight="1" x14ac:dyDescent="0.3">
      <c r="A393" s="2" t="s">
        <v>417</v>
      </c>
      <c r="B393" s="2">
        <v>58</v>
      </c>
      <c r="C393" s="2">
        <v>3.82</v>
      </c>
      <c r="D393" s="2">
        <v>221.7</v>
      </c>
      <c r="E393" s="6">
        <f>_xlfn.RANK.EQ(C393,C:C,0)</f>
        <v>425</v>
      </c>
      <c r="F393" s="6">
        <f>_xlfn.RANK.EQ(D393,D:D,0)</f>
        <v>291</v>
      </c>
      <c r="G393" s="2">
        <f>E393*0.7+F393*0.3</f>
        <v>384.8</v>
      </c>
      <c r="H393" s="7">
        <v>392</v>
      </c>
    </row>
    <row r="394" spans="1:8" ht="12.45" customHeight="1" x14ac:dyDescent="0.3">
      <c r="A394" s="2" t="s">
        <v>418</v>
      </c>
      <c r="B394" s="2">
        <v>49.5</v>
      </c>
      <c r="C394" s="2">
        <v>3.98</v>
      </c>
      <c r="D394" s="2">
        <v>196.85</v>
      </c>
      <c r="E394" s="6">
        <f>_xlfn.RANK.EQ(C394,C:C,0)</f>
        <v>343</v>
      </c>
      <c r="F394" s="6">
        <f>_xlfn.RANK.EQ(D394,D:D,0)</f>
        <v>484</v>
      </c>
      <c r="G394" s="2">
        <f>E394*0.7+F394*0.3</f>
        <v>385.29999999999995</v>
      </c>
      <c r="H394" s="7">
        <v>393</v>
      </c>
    </row>
    <row r="395" spans="1:8" ht="12.45" customHeight="1" x14ac:dyDescent="0.3">
      <c r="A395" s="2" t="s">
        <v>419</v>
      </c>
      <c r="B395" s="2">
        <v>59.5</v>
      </c>
      <c r="C395" s="2">
        <v>3.78</v>
      </c>
      <c r="D395" s="2">
        <v>225</v>
      </c>
      <c r="E395" s="6">
        <f>_xlfn.RANK.EQ(C395,C:C,0)</f>
        <v>440</v>
      </c>
      <c r="F395" s="6">
        <f>_xlfn.RANK.EQ(D395,D:D,0)</f>
        <v>262</v>
      </c>
      <c r="G395" s="2">
        <f>E395*0.7+F395*0.3</f>
        <v>386.6</v>
      </c>
      <c r="H395" s="7">
        <v>394</v>
      </c>
    </row>
    <row r="396" spans="1:8" ht="12.45" customHeight="1" x14ac:dyDescent="0.3">
      <c r="A396" s="2" t="s">
        <v>420</v>
      </c>
      <c r="B396" s="2">
        <v>50.5</v>
      </c>
      <c r="C396" s="2">
        <v>3.96</v>
      </c>
      <c r="D396" s="2">
        <v>200</v>
      </c>
      <c r="E396" s="6">
        <f>_xlfn.RANK.EQ(C396,C:C,0)</f>
        <v>355</v>
      </c>
      <c r="F396" s="6">
        <f>_xlfn.RANK.EQ(D396,D:D,0)</f>
        <v>461</v>
      </c>
      <c r="G396" s="2">
        <f>E396*0.7+F396*0.3</f>
        <v>386.79999999999995</v>
      </c>
      <c r="H396" s="7">
        <v>395</v>
      </c>
    </row>
    <row r="397" spans="1:8" ht="12.45" customHeight="1" x14ac:dyDescent="0.3">
      <c r="A397" s="2" t="s">
        <v>421</v>
      </c>
      <c r="B397" s="2">
        <v>54.5</v>
      </c>
      <c r="C397" s="2">
        <v>3.89</v>
      </c>
      <c r="D397" s="2">
        <v>212.25</v>
      </c>
      <c r="E397" s="6">
        <f>_xlfn.RANK.EQ(C397,C:C,0)</f>
        <v>397</v>
      </c>
      <c r="F397" s="6">
        <f>_xlfn.RANK.EQ(D397,D:D,0)</f>
        <v>373</v>
      </c>
      <c r="G397" s="2">
        <f>E397*0.7+F397*0.3</f>
        <v>389.79999999999995</v>
      </c>
      <c r="H397" s="7">
        <v>396</v>
      </c>
    </row>
    <row r="398" spans="1:8" ht="12.45" customHeight="1" x14ac:dyDescent="0.3">
      <c r="A398" s="2" t="s">
        <v>422</v>
      </c>
      <c r="B398" s="2">
        <v>57.5</v>
      </c>
      <c r="C398" s="2">
        <v>3.82</v>
      </c>
      <c r="D398" s="2">
        <v>219.65</v>
      </c>
      <c r="E398" s="6">
        <f>_xlfn.RANK.EQ(C398,C:C,0)</f>
        <v>425</v>
      </c>
      <c r="F398" s="6">
        <f>_xlfn.RANK.EQ(D398,D:D,0)</f>
        <v>308</v>
      </c>
      <c r="G398" s="2">
        <f>E398*0.7+F398*0.3</f>
        <v>389.9</v>
      </c>
      <c r="H398" s="7">
        <v>397</v>
      </c>
    </row>
    <row r="399" spans="1:8" ht="12.45" customHeight="1" x14ac:dyDescent="0.3">
      <c r="A399" s="2" t="s">
        <v>423</v>
      </c>
      <c r="B399" s="2">
        <v>58</v>
      </c>
      <c r="C399" s="2">
        <v>3.81</v>
      </c>
      <c r="D399" s="2">
        <v>221.05</v>
      </c>
      <c r="E399" s="6">
        <f>_xlfn.RANK.EQ(C399,C:C,0)</f>
        <v>430</v>
      </c>
      <c r="F399" s="6">
        <f>_xlfn.RANK.EQ(D399,D:D,0)</f>
        <v>297</v>
      </c>
      <c r="G399" s="2">
        <f>E399*0.7+F399*0.3</f>
        <v>390.1</v>
      </c>
      <c r="H399" s="7">
        <v>398</v>
      </c>
    </row>
    <row r="400" spans="1:8" ht="12.45" customHeight="1" x14ac:dyDescent="0.3">
      <c r="A400" s="2" t="s">
        <v>424</v>
      </c>
      <c r="B400" s="2">
        <v>53</v>
      </c>
      <c r="C400" s="2">
        <v>3.91</v>
      </c>
      <c r="D400" s="2">
        <v>207.45</v>
      </c>
      <c r="E400" s="6">
        <f>_xlfn.RANK.EQ(C400,C:C,0)</f>
        <v>382</v>
      </c>
      <c r="F400" s="6">
        <f>_xlfn.RANK.EQ(D400,D:D,0)</f>
        <v>411</v>
      </c>
      <c r="G400" s="2">
        <f>E400*0.7+F400*0.3</f>
        <v>390.7</v>
      </c>
      <c r="H400" s="7">
        <v>399</v>
      </c>
    </row>
    <row r="401" spans="1:8" ht="12.45" customHeight="1" x14ac:dyDescent="0.3">
      <c r="A401" s="2" t="s">
        <v>425</v>
      </c>
      <c r="B401" s="2">
        <v>52</v>
      </c>
      <c r="C401" s="2">
        <v>3.93</v>
      </c>
      <c r="D401" s="2">
        <v>204.15</v>
      </c>
      <c r="E401" s="6">
        <f>_xlfn.RANK.EQ(C401,C:C,0)</f>
        <v>373</v>
      </c>
      <c r="F401" s="6">
        <f>_xlfn.RANK.EQ(D401,D:D,0)</f>
        <v>434</v>
      </c>
      <c r="G401" s="2">
        <f>E401*0.7+F401*0.3</f>
        <v>391.29999999999995</v>
      </c>
      <c r="H401" s="7">
        <v>400</v>
      </c>
    </row>
    <row r="402" spans="1:8" ht="12.45" customHeight="1" x14ac:dyDescent="0.3">
      <c r="A402" s="2" t="s">
        <v>426</v>
      </c>
      <c r="B402" s="2">
        <v>61</v>
      </c>
      <c r="C402" s="2">
        <v>3.74</v>
      </c>
      <c r="D402" s="2">
        <v>228.15</v>
      </c>
      <c r="E402" s="6">
        <f>_xlfn.RANK.EQ(C402,C:C,0)</f>
        <v>466</v>
      </c>
      <c r="F402" s="6">
        <f>_xlfn.RANK.EQ(D402,D:D,0)</f>
        <v>226</v>
      </c>
      <c r="G402" s="2">
        <f>E402*0.7+F402*0.3</f>
        <v>394</v>
      </c>
      <c r="H402" s="7">
        <v>401</v>
      </c>
    </row>
    <row r="403" spans="1:8" ht="12.45" customHeight="1" x14ac:dyDescent="0.3">
      <c r="A403" s="2" t="s">
        <v>427</v>
      </c>
      <c r="B403" s="2">
        <v>52.5</v>
      </c>
      <c r="C403" s="2">
        <v>3.91</v>
      </c>
      <c r="D403" s="2">
        <v>205.05</v>
      </c>
      <c r="E403" s="6">
        <f>_xlfn.RANK.EQ(C403,C:C,0)</f>
        <v>382</v>
      </c>
      <c r="F403" s="6">
        <f>_xlfn.RANK.EQ(D403,D:D,0)</f>
        <v>425</v>
      </c>
      <c r="G403" s="2">
        <f>E403*0.7+F403*0.3</f>
        <v>394.9</v>
      </c>
      <c r="H403" s="7">
        <v>402</v>
      </c>
    </row>
    <row r="404" spans="1:8" ht="12.45" customHeight="1" x14ac:dyDescent="0.3">
      <c r="A404" s="2" t="s">
        <v>428</v>
      </c>
      <c r="B404" s="2">
        <v>57</v>
      </c>
      <c r="C404" s="2">
        <v>3.82</v>
      </c>
      <c r="D404" s="2">
        <v>217.95</v>
      </c>
      <c r="E404" s="6">
        <f>_xlfn.RANK.EQ(C404,C:C,0)</f>
        <v>425</v>
      </c>
      <c r="F404" s="6">
        <f>_xlfn.RANK.EQ(D404,D:D,0)</f>
        <v>327</v>
      </c>
      <c r="G404" s="2">
        <f>E404*0.7+F404*0.3</f>
        <v>395.6</v>
      </c>
      <c r="H404" s="7">
        <v>403</v>
      </c>
    </row>
    <row r="405" spans="1:8" ht="12.45" customHeight="1" x14ac:dyDescent="0.3">
      <c r="A405" s="2" t="s">
        <v>429</v>
      </c>
      <c r="B405" s="2">
        <v>50</v>
      </c>
      <c r="C405" s="2">
        <v>3.96</v>
      </c>
      <c r="D405" s="2">
        <v>193.8</v>
      </c>
      <c r="E405" s="6">
        <f>_xlfn.RANK.EQ(C405,C:C,0)</f>
        <v>355</v>
      </c>
      <c r="F405" s="6">
        <f>_xlfn.RANK.EQ(D405,D:D,0)</f>
        <v>500</v>
      </c>
      <c r="G405" s="2">
        <f>E405*0.7+F405*0.3</f>
        <v>398.5</v>
      </c>
      <c r="H405" s="7">
        <v>404</v>
      </c>
    </row>
    <row r="406" spans="1:8" ht="12.45" customHeight="1" x14ac:dyDescent="0.3">
      <c r="A406" s="2" t="s">
        <v>430</v>
      </c>
      <c r="B406" s="2">
        <v>58</v>
      </c>
      <c r="C406" s="2">
        <v>3.78</v>
      </c>
      <c r="D406" s="2">
        <v>219.15</v>
      </c>
      <c r="E406" s="6">
        <f>_xlfn.RANK.EQ(C406,C:C,0)</f>
        <v>440</v>
      </c>
      <c r="F406" s="6">
        <f>_xlfn.RANK.EQ(D406,D:D,0)</f>
        <v>310</v>
      </c>
      <c r="G406" s="2">
        <f>E406*0.7+F406*0.3</f>
        <v>401</v>
      </c>
      <c r="H406" s="7">
        <v>405</v>
      </c>
    </row>
    <row r="407" spans="1:8" ht="12.45" customHeight="1" x14ac:dyDescent="0.3">
      <c r="A407" s="2" t="s">
        <v>431</v>
      </c>
      <c r="B407" s="2">
        <v>48.5</v>
      </c>
      <c r="C407" s="2">
        <v>3.96</v>
      </c>
      <c r="D407" s="2">
        <v>192.3</v>
      </c>
      <c r="E407" s="6">
        <f>_xlfn.RANK.EQ(C407,C:C,0)</f>
        <v>355</v>
      </c>
      <c r="F407" s="6">
        <f>_xlfn.RANK.EQ(D407,D:D,0)</f>
        <v>509</v>
      </c>
      <c r="G407" s="2">
        <f>E407*0.7+F407*0.3</f>
        <v>401.19999999999993</v>
      </c>
      <c r="H407" s="7">
        <v>406</v>
      </c>
    </row>
    <row r="408" spans="1:8" ht="12.45" customHeight="1" x14ac:dyDescent="0.3">
      <c r="A408" s="2" t="s">
        <v>432</v>
      </c>
      <c r="B408" s="2">
        <v>54.5</v>
      </c>
      <c r="C408" s="2">
        <v>3.85</v>
      </c>
      <c r="D408" s="2">
        <v>210.05</v>
      </c>
      <c r="E408" s="6">
        <f>_xlfn.RANK.EQ(C408,C:C,0)</f>
        <v>410</v>
      </c>
      <c r="F408" s="6">
        <f>_xlfn.RANK.EQ(D408,D:D,0)</f>
        <v>385</v>
      </c>
      <c r="G408" s="2">
        <f>E408*0.7+F408*0.3</f>
        <v>402.5</v>
      </c>
      <c r="H408" s="7">
        <v>407</v>
      </c>
    </row>
    <row r="409" spans="1:8" ht="12.45" customHeight="1" x14ac:dyDescent="0.3">
      <c r="A409" s="2" t="s">
        <v>433</v>
      </c>
      <c r="B409" s="2">
        <v>53</v>
      </c>
      <c r="C409" s="2">
        <v>3.89</v>
      </c>
      <c r="D409" s="2">
        <v>206.4</v>
      </c>
      <c r="E409" s="6">
        <f>_xlfn.RANK.EQ(C409,C:C,0)</f>
        <v>397</v>
      </c>
      <c r="F409" s="6">
        <f>_xlfn.RANK.EQ(D409,D:D,0)</f>
        <v>417</v>
      </c>
      <c r="G409" s="2">
        <f>E409*0.7+F409*0.3</f>
        <v>403</v>
      </c>
      <c r="H409" s="7">
        <v>408</v>
      </c>
    </row>
    <row r="410" spans="1:8" ht="12.45" customHeight="1" x14ac:dyDescent="0.3">
      <c r="A410" s="2" t="s">
        <v>434</v>
      </c>
      <c r="B410" s="2">
        <v>51.5</v>
      </c>
      <c r="C410" s="2">
        <v>3.91</v>
      </c>
      <c r="D410" s="2">
        <v>201.35</v>
      </c>
      <c r="E410" s="6">
        <f>_xlfn.RANK.EQ(C410,C:C,0)</f>
        <v>382</v>
      </c>
      <c r="F410" s="6">
        <f>_xlfn.RANK.EQ(D410,D:D,0)</f>
        <v>452</v>
      </c>
      <c r="G410" s="2">
        <f>E410*0.7+F410*0.3</f>
        <v>403</v>
      </c>
      <c r="H410" s="7">
        <v>408</v>
      </c>
    </row>
    <row r="411" spans="1:8" ht="12.45" customHeight="1" x14ac:dyDescent="0.3">
      <c r="A411" s="2" t="s">
        <v>435</v>
      </c>
      <c r="B411" s="2">
        <v>60.5</v>
      </c>
      <c r="C411" s="2">
        <v>3.73</v>
      </c>
      <c r="D411" s="2">
        <v>225.45</v>
      </c>
      <c r="E411" s="6">
        <f>_xlfn.RANK.EQ(C411,C:C,0)</f>
        <v>471</v>
      </c>
      <c r="F411" s="6">
        <f>_xlfn.RANK.EQ(D411,D:D,0)</f>
        <v>251</v>
      </c>
      <c r="G411" s="2">
        <f>E411*0.7+F411*0.3</f>
        <v>405</v>
      </c>
      <c r="H411" s="7">
        <v>410</v>
      </c>
    </row>
    <row r="412" spans="1:8" ht="12.45" customHeight="1" x14ac:dyDescent="0.3">
      <c r="A412" s="2" t="s">
        <v>436</v>
      </c>
      <c r="B412" s="2">
        <v>56.5</v>
      </c>
      <c r="C412" s="2">
        <v>3.81</v>
      </c>
      <c r="D412" s="2">
        <v>215.4</v>
      </c>
      <c r="E412" s="6">
        <f>_xlfn.RANK.EQ(C412,C:C,0)</f>
        <v>430</v>
      </c>
      <c r="F412" s="6">
        <f>_xlfn.RANK.EQ(D412,D:D,0)</f>
        <v>348</v>
      </c>
      <c r="G412" s="2">
        <f>E412*0.7+F412*0.3</f>
        <v>405.4</v>
      </c>
      <c r="H412" s="7">
        <v>411</v>
      </c>
    </row>
    <row r="413" spans="1:8" ht="12.45" customHeight="1" x14ac:dyDescent="0.3">
      <c r="A413" s="2" t="s">
        <v>437</v>
      </c>
      <c r="B413" s="2">
        <v>52</v>
      </c>
      <c r="C413" s="2">
        <v>3.9</v>
      </c>
      <c r="D413" s="2">
        <v>202.95</v>
      </c>
      <c r="E413" s="6">
        <f>_xlfn.RANK.EQ(C413,C:C,0)</f>
        <v>389</v>
      </c>
      <c r="F413" s="6">
        <f>_xlfn.RANK.EQ(D413,D:D,0)</f>
        <v>444</v>
      </c>
      <c r="G413" s="2">
        <f>E413*0.7+F413*0.3</f>
        <v>405.49999999999994</v>
      </c>
      <c r="H413" s="7">
        <v>412</v>
      </c>
    </row>
    <row r="414" spans="1:8" ht="12.45" customHeight="1" x14ac:dyDescent="0.3">
      <c r="A414" s="2" t="s">
        <v>438</v>
      </c>
      <c r="B414" s="2">
        <v>52.5</v>
      </c>
      <c r="C414" s="2">
        <v>3.89</v>
      </c>
      <c r="D414" s="2">
        <v>204.3</v>
      </c>
      <c r="E414" s="6">
        <f>_xlfn.RANK.EQ(C414,C:C,0)</f>
        <v>397</v>
      </c>
      <c r="F414" s="6">
        <f>_xlfn.RANK.EQ(D414,D:D,0)</f>
        <v>432</v>
      </c>
      <c r="G414" s="2">
        <f>E414*0.7+F414*0.3</f>
        <v>407.5</v>
      </c>
      <c r="H414" s="7">
        <v>413</v>
      </c>
    </row>
    <row r="415" spans="1:8" ht="12.45" customHeight="1" x14ac:dyDescent="0.3">
      <c r="A415" s="2" t="s">
        <v>439</v>
      </c>
      <c r="B415" s="2">
        <v>57</v>
      </c>
      <c r="C415" s="2">
        <v>3.79</v>
      </c>
      <c r="D415" s="2">
        <v>216.15</v>
      </c>
      <c r="E415" s="6">
        <f>_xlfn.RANK.EQ(C415,C:C,0)</f>
        <v>437</v>
      </c>
      <c r="F415" s="6">
        <f>_xlfn.RANK.EQ(D415,D:D,0)</f>
        <v>340</v>
      </c>
      <c r="G415" s="2">
        <f>E415*0.7+F415*0.3</f>
        <v>407.9</v>
      </c>
      <c r="H415" s="7">
        <v>414</v>
      </c>
    </row>
    <row r="416" spans="1:8" ht="12.45" customHeight="1" x14ac:dyDescent="0.3">
      <c r="A416" s="2" t="s">
        <v>440</v>
      </c>
      <c r="B416" s="2">
        <v>54.5</v>
      </c>
      <c r="C416" s="2">
        <v>3.84</v>
      </c>
      <c r="D416" s="2">
        <v>209.55</v>
      </c>
      <c r="E416" s="6">
        <f>_xlfn.RANK.EQ(C416,C:C,0)</f>
        <v>415</v>
      </c>
      <c r="F416" s="6">
        <f>_xlfn.RANK.EQ(D416,D:D,0)</f>
        <v>392</v>
      </c>
      <c r="G416" s="2">
        <f>E416*0.7+F416*0.3</f>
        <v>408.1</v>
      </c>
      <c r="H416" s="7">
        <v>415</v>
      </c>
    </row>
    <row r="417" spans="1:8" ht="12.45" customHeight="1" x14ac:dyDescent="0.3">
      <c r="A417" s="2" t="s">
        <v>441</v>
      </c>
      <c r="B417" s="2">
        <v>54</v>
      </c>
      <c r="C417" s="2">
        <v>3.85</v>
      </c>
      <c r="D417" s="2">
        <v>207.8</v>
      </c>
      <c r="E417" s="6">
        <f>_xlfn.RANK.EQ(C417,C:C,0)</f>
        <v>410</v>
      </c>
      <c r="F417" s="6">
        <f>_xlfn.RANK.EQ(D417,D:D,0)</f>
        <v>408</v>
      </c>
      <c r="G417" s="2">
        <f>E417*0.7+F417*0.3</f>
        <v>409.4</v>
      </c>
      <c r="H417" s="7">
        <v>416</v>
      </c>
    </row>
    <row r="418" spans="1:8" ht="12.45" customHeight="1" x14ac:dyDescent="0.3">
      <c r="A418" s="2" t="s">
        <v>442</v>
      </c>
      <c r="B418" s="2">
        <v>51</v>
      </c>
      <c r="C418" s="2">
        <v>3.9</v>
      </c>
      <c r="D418" s="2">
        <v>199.1</v>
      </c>
      <c r="E418" s="6">
        <f>_xlfn.RANK.EQ(C418,C:C,0)</f>
        <v>389</v>
      </c>
      <c r="F418" s="6">
        <f>_xlfn.RANK.EQ(D418,D:D,0)</f>
        <v>468</v>
      </c>
      <c r="G418" s="2">
        <f>E418*0.7+F418*0.3</f>
        <v>412.69999999999993</v>
      </c>
      <c r="H418" s="7">
        <v>417</v>
      </c>
    </row>
    <row r="419" spans="1:8" ht="12.45" customHeight="1" x14ac:dyDescent="0.3">
      <c r="A419" s="2" t="s">
        <v>443</v>
      </c>
      <c r="B419" s="2">
        <v>46</v>
      </c>
      <c r="C419" s="2">
        <v>3.97</v>
      </c>
      <c r="D419" s="2">
        <v>182.7</v>
      </c>
      <c r="E419" s="6">
        <f>_xlfn.RANK.EQ(C419,C:C,0)</f>
        <v>348</v>
      </c>
      <c r="F419" s="6">
        <f>_xlfn.RANK.EQ(D419,D:D,0)</f>
        <v>565</v>
      </c>
      <c r="G419" s="2">
        <f>E419*0.7+F419*0.3</f>
        <v>413.1</v>
      </c>
      <c r="H419" s="7">
        <v>418</v>
      </c>
    </row>
    <row r="420" spans="1:8" ht="12.45" customHeight="1" x14ac:dyDescent="0.3">
      <c r="A420" s="2" t="s">
        <v>444</v>
      </c>
      <c r="B420" s="2">
        <v>52.5</v>
      </c>
      <c r="C420" s="2">
        <v>3.87</v>
      </c>
      <c r="D420" s="2">
        <v>203.1</v>
      </c>
      <c r="E420" s="6">
        <f>_xlfn.RANK.EQ(C420,C:C,0)</f>
        <v>402</v>
      </c>
      <c r="F420" s="6">
        <f>_xlfn.RANK.EQ(D420,D:D,0)</f>
        <v>443</v>
      </c>
      <c r="G420" s="2">
        <f>E420*0.7+F420*0.3</f>
        <v>414.29999999999995</v>
      </c>
      <c r="H420" s="7">
        <v>419</v>
      </c>
    </row>
    <row r="421" spans="1:8" ht="12.45" customHeight="1" x14ac:dyDescent="0.3">
      <c r="A421" s="2" t="s">
        <v>445</v>
      </c>
      <c r="B421" s="2">
        <v>54.5</v>
      </c>
      <c r="C421" s="2">
        <v>3.83</v>
      </c>
      <c r="D421" s="2">
        <v>208.5</v>
      </c>
      <c r="E421" s="6">
        <f>_xlfn.RANK.EQ(C421,C:C,0)</f>
        <v>420</v>
      </c>
      <c r="F421" s="6">
        <f>_xlfn.RANK.EQ(D421,D:D,0)</f>
        <v>405</v>
      </c>
      <c r="G421" s="2">
        <f>E421*0.7+F421*0.3</f>
        <v>415.5</v>
      </c>
      <c r="H421" s="7">
        <v>420</v>
      </c>
    </row>
    <row r="422" spans="1:8" ht="12.45" customHeight="1" x14ac:dyDescent="0.3">
      <c r="A422" s="2" t="s">
        <v>446</v>
      </c>
      <c r="B422" s="2">
        <v>50.5</v>
      </c>
      <c r="C422" s="2">
        <v>3.9</v>
      </c>
      <c r="D422" s="2">
        <v>197</v>
      </c>
      <c r="E422" s="6">
        <f>_xlfn.RANK.EQ(C422,C:C,0)</f>
        <v>389</v>
      </c>
      <c r="F422" s="6">
        <f>_xlfn.RANK.EQ(D422,D:D,0)</f>
        <v>480</v>
      </c>
      <c r="G422" s="2">
        <f>E422*0.7+F422*0.3</f>
        <v>416.29999999999995</v>
      </c>
      <c r="H422" s="7">
        <v>421</v>
      </c>
    </row>
    <row r="423" spans="1:8" ht="12.45" customHeight="1" x14ac:dyDescent="0.3">
      <c r="A423" s="2" t="s">
        <v>447</v>
      </c>
      <c r="B423" s="2">
        <v>56.5</v>
      </c>
      <c r="C423" s="2">
        <v>3.78</v>
      </c>
      <c r="D423" s="2">
        <v>213.6</v>
      </c>
      <c r="E423" s="6">
        <f>_xlfn.RANK.EQ(C423,C:C,0)</f>
        <v>440</v>
      </c>
      <c r="F423" s="6">
        <f>_xlfn.RANK.EQ(D423,D:D,0)</f>
        <v>361</v>
      </c>
      <c r="G423" s="2">
        <f>E423*0.7+F423*0.3</f>
        <v>416.3</v>
      </c>
      <c r="H423" s="7">
        <v>421</v>
      </c>
    </row>
    <row r="424" spans="1:8" ht="12.45" customHeight="1" x14ac:dyDescent="0.3">
      <c r="A424" s="2" t="s">
        <v>448</v>
      </c>
      <c r="B424" s="2">
        <v>53</v>
      </c>
      <c r="C424" s="2">
        <v>3.85</v>
      </c>
      <c r="D424" s="2">
        <v>203.9</v>
      </c>
      <c r="E424" s="6">
        <f>_xlfn.RANK.EQ(C424,C:C,0)</f>
        <v>410</v>
      </c>
      <c r="F424" s="6">
        <f>_xlfn.RANK.EQ(D424,D:D,0)</f>
        <v>436</v>
      </c>
      <c r="G424" s="2">
        <f>E424*0.7+F424*0.3</f>
        <v>417.79999999999995</v>
      </c>
      <c r="H424" s="7">
        <v>423</v>
      </c>
    </row>
    <row r="425" spans="1:8" ht="12.45" customHeight="1" x14ac:dyDescent="0.3">
      <c r="A425" s="2" t="s">
        <v>449</v>
      </c>
      <c r="B425" s="2">
        <v>57</v>
      </c>
      <c r="C425" s="2">
        <v>3.77</v>
      </c>
      <c r="D425" s="2">
        <v>214.95</v>
      </c>
      <c r="E425" s="6">
        <f>_xlfn.RANK.EQ(C425,C:C,0)</f>
        <v>449</v>
      </c>
      <c r="F425" s="6">
        <f>_xlfn.RANK.EQ(D425,D:D,0)</f>
        <v>354</v>
      </c>
      <c r="G425" s="2">
        <f>E425*0.7+F425*0.3</f>
        <v>420.49999999999994</v>
      </c>
      <c r="H425" s="7">
        <v>424</v>
      </c>
    </row>
    <row r="426" spans="1:8" ht="12.45" customHeight="1" x14ac:dyDescent="0.3">
      <c r="A426" s="2" t="s">
        <v>450</v>
      </c>
      <c r="B426" s="2">
        <v>53.5</v>
      </c>
      <c r="C426" s="2">
        <v>3.83</v>
      </c>
      <c r="D426" s="2">
        <v>205.1</v>
      </c>
      <c r="E426" s="6">
        <f>_xlfn.RANK.EQ(C426,C:C,0)</f>
        <v>420</v>
      </c>
      <c r="F426" s="6">
        <f>_xlfn.RANK.EQ(D426,D:D,0)</f>
        <v>424</v>
      </c>
      <c r="G426" s="2">
        <f>E426*0.7+F426*0.3</f>
        <v>421.2</v>
      </c>
      <c r="H426" s="7">
        <v>425</v>
      </c>
    </row>
    <row r="427" spans="1:8" ht="12.45" customHeight="1" x14ac:dyDescent="0.3">
      <c r="A427" s="2" t="s">
        <v>451</v>
      </c>
      <c r="B427" s="2">
        <v>52</v>
      </c>
      <c r="C427" s="2">
        <v>3.86</v>
      </c>
      <c r="D427" s="2">
        <v>200.7</v>
      </c>
      <c r="E427" s="6">
        <f>_xlfn.RANK.EQ(C427,C:C,0)</f>
        <v>406</v>
      </c>
      <c r="F427" s="6">
        <f>_xlfn.RANK.EQ(D427,D:D,0)</f>
        <v>457</v>
      </c>
      <c r="G427" s="2">
        <f>E427*0.7+F427*0.3</f>
        <v>421.29999999999995</v>
      </c>
      <c r="H427" s="7">
        <v>426</v>
      </c>
    </row>
    <row r="428" spans="1:8" ht="12.45" customHeight="1" x14ac:dyDescent="0.3">
      <c r="A428" s="2" t="s">
        <v>452</v>
      </c>
      <c r="B428" s="2">
        <v>56</v>
      </c>
      <c r="C428" s="2">
        <v>3.78</v>
      </c>
      <c r="D428" s="2">
        <v>211.5</v>
      </c>
      <c r="E428" s="6">
        <f>_xlfn.RANK.EQ(C428,C:C,0)</f>
        <v>440</v>
      </c>
      <c r="F428" s="6">
        <f>_xlfn.RANK.EQ(D428,D:D,0)</f>
        <v>378</v>
      </c>
      <c r="G428" s="2">
        <f>E428*0.7+F428*0.3</f>
        <v>421.4</v>
      </c>
      <c r="H428" s="7">
        <v>427</v>
      </c>
    </row>
    <row r="429" spans="1:8" ht="12.45" customHeight="1" x14ac:dyDescent="0.3">
      <c r="A429" s="2" t="s">
        <v>453</v>
      </c>
      <c r="B429" s="2">
        <v>51.5</v>
      </c>
      <c r="C429" s="2">
        <v>3.87</v>
      </c>
      <c r="D429" s="2">
        <v>199.2</v>
      </c>
      <c r="E429" s="6">
        <f>_xlfn.RANK.EQ(C429,C:C,0)</f>
        <v>402</v>
      </c>
      <c r="F429" s="6">
        <f>_xlfn.RANK.EQ(D429,D:D,0)</f>
        <v>467</v>
      </c>
      <c r="G429" s="2">
        <f>E429*0.7+F429*0.3</f>
        <v>421.5</v>
      </c>
      <c r="H429" s="7">
        <v>428</v>
      </c>
    </row>
    <row r="430" spans="1:8" ht="12.45" customHeight="1" x14ac:dyDescent="0.3">
      <c r="A430" s="2" t="s">
        <v>454</v>
      </c>
      <c r="B430" s="2">
        <v>53</v>
      </c>
      <c r="C430" s="2">
        <v>3.84</v>
      </c>
      <c r="D430" s="2">
        <v>203.7</v>
      </c>
      <c r="E430" s="6">
        <f>_xlfn.RANK.EQ(C430,C:C,0)</f>
        <v>415</v>
      </c>
      <c r="F430" s="6">
        <f>_xlfn.RANK.EQ(D430,D:D,0)</f>
        <v>437</v>
      </c>
      <c r="G430" s="2">
        <f>E430*0.7+F430*0.3</f>
        <v>421.6</v>
      </c>
      <c r="H430" s="7">
        <v>429</v>
      </c>
    </row>
    <row r="431" spans="1:8" ht="12.45" customHeight="1" x14ac:dyDescent="0.3">
      <c r="A431" s="2" t="s">
        <v>455</v>
      </c>
      <c r="B431" s="2">
        <v>53</v>
      </c>
      <c r="C431" s="2">
        <v>3.84</v>
      </c>
      <c r="D431" s="2">
        <v>203.55</v>
      </c>
      <c r="E431" s="6">
        <f>_xlfn.RANK.EQ(C431,C:C,0)</f>
        <v>415</v>
      </c>
      <c r="F431" s="6">
        <f>_xlfn.RANK.EQ(D431,D:D,0)</f>
        <v>439</v>
      </c>
      <c r="G431" s="2">
        <f>E431*0.7+F431*0.3</f>
        <v>422.2</v>
      </c>
      <c r="H431" s="7">
        <v>430</v>
      </c>
    </row>
    <row r="432" spans="1:8" ht="12.45" customHeight="1" x14ac:dyDescent="0.3">
      <c r="A432" s="2" t="s">
        <v>456</v>
      </c>
      <c r="B432" s="2">
        <v>51</v>
      </c>
      <c r="C432" s="2">
        <v>3.88</v>
      </c>
      <c r="D432" s="2">
        <v>197.85</v>
      </c>
      <c r="E432" s="6">
        <f>_xlfn.RANK.EQ(C432,C:C,0)</f>
        <v>400</v>
      </c>
      <c r="F432" s="6">
        <f>_xlfn.RANK.EQ(D432,D:D,0)</f>
        <v>475</v>
      </c>
      <c r="G432" s="2">
        <f>E432*0.7+F432*0.3</f>
        <v>422.5</v>
      </c>
      <c r="H432" s="7">
        <v>431</v>
      </c>
    </row>
    <row r="433" spans="1:8" ht="12.45" customHeight="1" x14ac:dyDescent="0.3">
      <c r="A433" s="2" t="s">
        <v>457</v>
      </c>
      <c r="B433" s="2">
        <v>53</v>
      </c>
      <c r="C433" s="2">
        <v>3.84</v>
      </c>
      <c r="D433" s="2">
        <v>203.4</v>
      </c>
      <c r="E433" s="6">
        <f>_xlfn.RANK.EQ(C433,C:C,0)</f>
        <v>415</v>
      </c>
      <c r="F433" s="6">
        <f>_xlfn.RANK.EQ(D433,D:D,0)</f>
        <v>440</v>
      </c>
      <c r="G433" s="2">
        <f>E433*0.7+F433*0.3</f>
        <v>422.5</v>
      </c>
      <c r="H433" s="7">
        <v>431</v>
      </c>
    </row>
    <row r="434" spans="1:8" ht="12.45" customHeight="1" x14ac:dyDescent="0.3">
      <c r="A434" s="2" t="s">
        <v>458</v>
      </c>
      <c r="B434" s="2">
        <v>56.5</v>
      </c>
      <c r="C434" s="2">
        <v>3.77</v>
      </c>
      <c r="D434" s="2">
        <v>213</v>
      </c>
      <c r="E434" s="6">
        <f>_xlfn.RANK.EQ(C434,C:C,0)</f>
        <v>449</v>
      </c>
      <c r="F434" s="6">
        <f>_xlfn.RANK.EQ(D434,D:D,0)</f>
        <v>368</v>
      </c>
      <c r="G434" s="2">
        <f>E434*0.7+F434*0.3</f>
        <v>424.69999999999993</v>
      </c>
      <c r="H434" s="7">
        <v>433</v>
      </c>
    </row>
    <row r="435" spans="1:8" ht="12.45" customHeight="1" x14ac:dyDescent="0.3">
      <c r="A435" s="2" t="s">
        <v>459</v>
      </c>
      <c r="B435" s="2">
        <v>53</v>
      </c>
      <c r="C435" s="2">
        <v>3.83</v>
      </c>
      <c r="D435" s="2">
        <v>202.8</v>
      </c>
      <c r="E435" s="6">
        <f>_xlfn.RANK.EQ(C435,C:C,0)</f>
        <v>420</v>
      </c>
      <c r="F435" s="6">
        <f>_xlfn.RANK.EQ(D435,D:D,0)</f>
        <v>445</v>
      </c>
      <c r="G435" s="2">
        <f>E435*0.7+F435*0.3</f>
        <v>427.5</v>
      </c>
      <c r="H435" s="7">
        <v>434</v>
      </c>
    </row>
    <row r="436" spans="1:8" ht="12.45" customHeight="1" x14ac:dyDescent="0.3">
      <c r="A436" s="2" t="s">
        <v>460</v>
      </c>
      <c r="B436" s="2">
        <v>54</v>
      </c>
      <c r="C436" s="2">
        <v>3.81</v>
      </c>
      <c r="D436" s="2">
        <v>205.65</v>
      </c>
      <c r="E436" s="6">
        <f>_xlfn.RANK.EQ(C436,C:C,0)</f>
        <v>430</v>
      </c>
      <c r="F436" s="6">
        <f>_xlfn.RANK.EQ(D436,D:D,0)</f>
        <v>422</v>
      </c>
      <c r="G436" s="2">
        <f>E436*0.7+F436*0.3</f>
        <v>427.6</v>
      </c>
      <c r="H436" s="7">
        <v>435</v>
      </c>
    </row>
    <row r="437" spans="1:8" ht="12.45" customHeight="1" x14ac:dyDescent="0.3">
      <c r="A437" s="2" t="s">
        <v>461</v>
      </c>
      <c r="B437" s="2">
        <v>62.5</v>
      </c>
      <c r="C437" s="2">
        <v>3.63</v>
      </c>
      <c r="D437" s="2">
        <v>227</v>
      </c>
      <c r="E437" s="6">
        <f>_xlfn.RANK.EQ(C437,C:C,0)</f>
        <v>511</v>
      </c>
      <c r="F437" s="6">
        <f>_xlfn.RANK.EQ(D437,D:D,0)</f>
        <v>237</v>
      </c>
      <c r="G437" s="2">
        <f>E437*0.7+F437*0.3</f>
        <v>428.79999999999995</v>
      </c>
      <c r="H437" s="7">
        <v>436</v>
      </c>
    </row>
    <row r="438" spans="1:8" ht="12.45" customHeight="1" x14ac:dyDescent="0.3">
      <c r="A438" s="2" t="s">
        <v>462</v>
      </c>
      <c r="B438" s="2">
        <v>51</v>
      </c>
      <c r="C438" s="2">
        <v>3.86</v>
      </c>
      <c r="D438" s="2">
        <v>196.85</v>
      </c>
      <c r="E438" s="6">
        <f>_xlfn.RANK.EQ(C438,C:C,0)</f>
        <v>406</v>
      </c>
      <c r="F438" s="6">
        <f>_xlfn.RANK.EQ(D438,D:D,0)</f>
        <v>484</v>
      </c>
      <c r="G438" s="2">
        <f>E438*0.7+F438*0.3</f>
        <v>429.4</v>
      </c>
      <c r="H438" s="7">
        <v>437</v>
      </c>
    </row>
    <row r="439" spans="1:8" ht="12.45" customHeight="1" x14ac:dyDescent="0.3">
      <c r="A439" s="2" t="s">
        <v>463</v>
      </c>
      <c r="B439" s="2">
        <v>53.5</v>
      </c>
      <c r="C439" s="2">
        <v>3.84</v>
      </c>
      <c r="D439" s="2">
        <v>199.9</v>
      </c>
      <c r="E439" s="6">
        <f>_xlfn.RANK.EQ(C439,C:C,0)</f>
        <v>415</v>
      </c>
      <c r="F439" s="6">
        <f>_xlfn.RANK.EQ(D439,D:D,0)</f>
        <v>464</v>
      </c>
      <c r="G439" s="2">
        <f>E439*0.7+F439*0.3</f>
        <v>429.7</v>
      </c>
      <c r="H439" s="7">
        <v>438</v>
      </c>
    </row>
    <row r="440" spans="1:8" ht="12.45" customHeight="1" x14ac:dyDescent="0.3">
      <c r="A440" s="2" t="s">
        <v>464</v>
      </c>
      <c r="B440" s="2">
        <v>55</v>
      </c>
      <c r="C440" s="2">
        <v>3.78</v>
      </c>
      <c r="D440" s="2">
        <v>207.9</v>
      </c>
      <c r="E440" s="6">
        <f>_xlfn.RANK.EQ(C440,C:C,0)</f>
        <v>440</v>
      </c>
      <c r="F440" s="6">
        <f>_xlfn.RANK.EQ(D440,D:D,0)</f>
        <v>407</v>
      </c>
      <c r="G440" s="2">
        <f>E440*0.7+F440*0.3</f>
        <v>430.1</v>
      </c>
      <c r="H440" s="7">
        <v>439</v>
      </c>
    </row>
    <row r="441" spans="1:8" ht="12.45" customHeight="1" x14ac:dyDescent="0.3">
      <c r="A441" s="2" t="s">
        <v>465</v>
      </c>
      <c r="B441" s="2">
        <v>59.5</v>
      </c>
      <c r="C441" s="2">
        <v>3.7</v>
      </c>
      <c r="D441" s="2">
        <v>220.15</v>
      </c>
      <c r="E441" s="6">
        <f>_xlfn.RANK.EQ(C441,C:C,0)</f>
        <v>484</v>
      </c>
      <c r="F441" s="6">
        <f>_xlfn.RANK.EQ(D441,D:D,0)</f>
        <v>305</v>
      </c>
      <c r="G441" s="2">
        <f>E441*0.7+F441*0.3</f>
        <v>430.29999999999995</v>
      </c>
      <c r="H441" s="7">
        <v>440</v>
      </c>
    </row>
    <row r="442" spans="1:8" ht="12.45" customHeight="1" x14ac:dyDescent="0.3">
      <c r="A442" s="2" t="s">
        <v>466</v>
      </c>
      <c r="B442" s="2">
        <v>55.5</v>
      </c>
      <c r="C442" s="2">
        <v>3.77</v>
      </c>
      <c r="D442" s="2">
        <v>209.25</v>
      </c>
      <c r="E442" s="6">
        <f>_xlfn.RANK.EQ(C442,C:C,0)</f>
        <v>449</v>
      </c>
      <c r="F442" s="6">
        <f>_xlfn.RANK.EQ(D442,D:D,0)</f>
        <v>397</v>
      </c>
      <c r="G442" s="2">
        <f>E442*0.7+F442*0.3</f>
        <v>433.4</v>
      </c>
      <c r="H442" s="7">
        <v>441</v>
      </c>
    </row>
    <row r="443" spans="1:8" ht="12.45" customHeight="1" x14ac:dyDescent="0.3">
      <c r="A443" s="2" t="s">
        <v>467</v>
      </c>
      <c r="B443" s="2">
        <v>55.5</v>
      </c>
      <c r="C443" s="2">
        <v>3.77</v>
      </c>
      <c r="D443" s="2">
        <v>209.2</v>
      </c>
      <c r="E443" s="6">
        <f>_xlfn.RANK.EQ(C443,C:C,0)</f>
        <v>449</v>
      </c>
      <c r="F443" s="6">
        <f>_xlfn.RANK.EQ(D443,D:D,0)</f>
        <v>400</v>
      </c>
      <c r="G443" s="2">
        <f>E443*0.7+F443*0.3</f>
        <v>434.29999999999995</v>
      </c>
      <c r="H443" s="7">
        <v>442</v>
      </c>
    </row>
    <row r="444" spans="1:8" ht="12.45" customHeight="1" x14ac:dyDescent="0.3">
      <c r="A444" s="2" t="s">
        <v>468</v>
      </c>
      <c r="B444" s="2">
        <v>48</v>
      </c>
      <c r="C444" s="2">
        <v>3.9</v>
      </c>
      <c r="D444" s="2">
        <v>187.05</v>
      </c>
      <c r="E444" s="6">
        <f>_xlfn.RANK.EQ(C444,C:C,0)</f>
        <v>389</v>
      </c>
      <c r="F444" s="6">
        <f>_xlfn.RANK.EQ(D444,D:D,0)</f>
        <v>542</v>
      </c>
      <c r="G444" s="2">
        <f>E444*0.7+F444*0.3</f>
        <v>434.9</v>
      </c>
      <c r="H444" s="7">
        <v>443</v>
      </c>
    </row>
    <row r="445" spans="1:8" ht="12.45" customHeight="1" x14ac:dyDescent="0.3">
      <c r="A445" s="2" t="s">
        <v>469</v>
      </c>
      <c r="B445" s="2">
        <v>54</v>
      </c>
      <c r="C445" s="2">
        <v>3.81</v>
      </c>
      <c r="D445" s="2">
        <v>201.9</v>
      </c>
      <c r="E445" s="6">
        <f>_xlfn.RANK.EQ(C445,C:C,0)</f>
        <v>430</v>
      </c>
      <c r="F445" s="6">
        <f>_xlfn.RANK.EQ(D445,D:D,0)</f>
        <v>448</v>
      </c>
      <c r="G445" s="2">
        <f>E445*0.7+F445*0.3</f>
        <v>435.4</v>
      </c>
      <c r="H445" s="7">
        <v>444</v>
      </c>
    </row>
    <row r="446" spans="1:8" ht="12.45" customHeight="1" x14ac:dyDescent="0.3">
      <c r="A446" s="2" t="s">
        <v>470</v>
      </c>
      <c r="B446" s="2">
        <v>51.5</v>
      </c>
      <c r="C446" s="2">
        <v>3.83</v>
      </c>
      <c r="D446" s="2">
        <v>197.4</v>
      </c>
      <c r="E446" s="6">
        <f>_xlfn.RANK.EQ(C446,C:C,0)</f>
        <v>420</v>
      </c>
      <c r="F446" s="6">
        <f>_xlfn.RANK.EQ(D446,D:D,0)</f>
        <v>478</v>
      </c>
      <c r="G446" s="2">
        <f>E446*0.7+F446*0.3</f>
        <v>437.4</v>
      </c>
      <c r="H446" s="7">
        <v>445</v>
      </c>
    </row>
    <row r="447" spans="1:8" ht="12.45" customHeight="1" x14ac:dyDescent="0.3">
      <c r="A447" s="2" t="s">
        <v>472</v>
      </c>
      <c r="B447" s="2">
        <v>56</v>
      </c>
      <c r="C447" s="2">
        <v>3.75</v>
      </c>
      <c r="D447" s="2">
        <v>210.15</v>
      </c>
      <c r="E447" s="6">
        <f>_xlfn.RANK.EQ(C447,C:C,0)</f>
        <v>461</v>
      </c>
      <c r="F447" s="6">
        <f>_xlfn.RANK.EQ(D447,D:D,0)</f>
        <v>383</v>
      </c>
      <c r="G447" s="2">
        <f>E447*0.7+F447*0.3</f>
        <v>437.59999999999997</v>
      </c>
      <c r="H447" s="7">
        <v>446</v>
      </c>
    </row>
    <row r="448" spans="1:8" ht="12.45" customHeight="1" x14ac:dyDescent="0.3">
      <c r="A448" s="2" t="s">
        <v>471</v>
      </c>
      <c r="B448" s="2">
        <v>54</v>
      </c>
      <c r="C448" s="2">
        <v>3.78</v>
      </c>
      <c r="D448" s="2">
        <v>204.3</v>
      </c>
      <c r="E448" s="6">
        <f>_xlfn.RANK.EQ(C448,C:C,0)</f>
        <v>440</v>
      </c>
      <c r="F448" s="6">
        <f>_xlfn.RANK.EQ(D448,D:D,0)</f>
        <v>432</v>
      </c>
      <c r="G448" s="2">
        <f>E448*0.7+F448*0.3</f>
        <v>437.6</v>
      </c>
      <c r="H448" s="7">
        <v>446</v>
      </c>
    </row>
    <row r="449" spans="1:8" ht="12.45" customHeight="1" x14ac:dyDescent="0.3">
      <c r="A449" s="2" t="s">
        <v>473</v>
      </c>
      <c r="B449" s="2">
        <v>51.5</v>
      </c>
      <c r="C449" s="2">
        <v>3.83</v>
      </c>
      <c r="D449" s="2">
        <v>197.3</v>
      </c>
      <c r="E449" s="6">
        <f>_xlfn.RANK.EQ(C449,C:C,0)</f>
        <v>420</v>
      </c>
      <c r="F449" s="6">
        <f>_xlfn.RANK.EQ(D449,D:D,0)</f>
        <v>479</v>
      </c>
      <c r="G449" s="2">
        <f>E449*0.7+F449*0.3</f>
        <v>437.7</v>
      </c>
      <c r="H449" s="7">
        <v>448</v>
      </c>
    </row>
    <row r="450" spans="1:8" ht="12.45" customHeight="1" x14ac:dyDescent="0.3">
      <c r="A450" s="2" t="s">
        <v>474</v>
      </c>
      <c r="B450" s="2">
        <v>56</v>
      </c>
      <c r="C450" s="2">
        <v>3.75</v>
      </c>
      <c r="D450" s="2">
        <v>210.05</v>
      </c>
      <c r="E450" s="6">
        <f>_xlfn.RANK.EQ(C450,C:C,0)</f>
        <v>461</v>
      </c>
      <c r="F450" s="6">
        <f>_xlfn.RANK.EQ(D450,D:D,0)</f>
        <v>385</v>
      </c>
      <c r="G450" s="2">
        <f>E450*0.7+F450*0.3</f>
        <v>438.2</v>
      </c>
      <c r="H450" s="7">
        <v>449</v>
      </c>
    </row>
    <row r="451" spans="1:8" ht="12.45" customHeight="1" x14ac:dyDescent="0.3">
      <c r="A451" s="2" t="s">
        <v>475</v>
      </c>
      <c r="B451" s="2">
        <v>56</v>
      </c>
      <c r="C451" s="2">
        <v>3.75</v>
      </c>
      <c r="D451" s="2">
        <v>209.9</v>
      </c>
      <c r="E451" s="6">
        <f>_xlfn.RANK.EQ(C451,C:C,0)</f>
        <v>461</v>
      </c>
      <c r="F451" s="6">
        <f>_xlfn.RANK.EQ(D451,D:D,0)</f>
        <v>388</v>
      </c>
      <c r="G451" s="2">
        <f>E451*0.7+F451*0.3</f>
        <v>439.09999999999997</v>
      </c>
      <c r="H451" s="7">
        <v>450</v>
      </c>
    </row>
    <row r="452" spans="1:8" ht="12.45" customHeight="1" x14ac:dyDescent="0.3">
      <c r="A452" s="2" t="s">
        <v>476</v>
      </c>
      <c r="B452" s="2">
        <v>59.5</v>
      </c>
      <c r="C452" s="2">
        <v>3.67</v>
      </c>
      <c r="D452" s="2">
        <v>218.6</v>
      </c>
      <c r="E452" s="6">
        <f>_xlfn.RANK.EQ(C452,C:C,0)</f>
        <v>493</v>
      </c>
      <c r="F452" s="6">
        <f>_xlfn.RANK.EQ(D452,D:D,0)</f>
        <v>317</v>
      </c>
      <c r="G452" s="2">
        <f>E452*0.7+F452*0.3</f>
        <v>440.19999999999993</v>
      </c>
      <c r="H452" s="7">
        <v>451</v>
      </c>
    </row>
    <row r="453" spans="1:8" ht="12.45" customHeight="1" x14ac:dyDescent="0.3">
      <c r="A453" s="2" t="s">
        <v>477</v>
      </c>
      <c r="B453" s="2">
        <v>53.5</v>
      </c>
      <c r="C453" s="2">
        <v>3.78</v>
      </c>
      <c r="D453" s="2">
        <v>202.2</v>
      </c>
      <c r="E453" s="6">
        <f>_xlfn.RANK.EQ(C453,C:C,0)</f>
        <v>440</v>
      </c>
      <c r="F453" s="6">
        <f>_xlfn.RANK.EQ(D453,D:D,0)</f>
        <v>446</v>
      </c>
      <c r="G453" s="2">
        <f>E453*0.7+F453*0.3</f>
        <v>441.79999999999995</v>
      </c>
      <c r="H453" s="7">
        <v>452</v>
      </c>
    </row>
    <row r="454" spans="1:8" ht="12.45" customHeight="1" x14ac:dyDescent="0.3">
      <c r="A454" s="2" t="s">
        <v>478</v>
      </c>
      <c r="B454" s="2">
        <v>56</v>
      </c>
      <c r="C454" s="2">
        <v>3.74</v>
      </c>
      <c r="D454" s="2">
        <v>209.4</v>
      </c>
      <c r="E454" s="6">
        <f>_xlfn.RANK.EQ(C454,C:C,0)</f>
        <v>466</v>
      </c>
      <c r="F454" s="6">
        <f>_xlfn.RANK.EQ(D454,D:D,0)</f>
        <v>396</v>
      </c>
      <c r="G454" s="2">
        <f>E454*0.7+F454*0.3</f>
        <v>445</v>
      </c>
      <c r="H454" s="7">
        <v>453</v>
      </c>
    </row>
    <row r="455" spans="1:8" ht="12.45" customHeight="1" x14ac:dyDescent="0.3">
      <c r="A455" s="2" t="s">
        <v>479</v>
      </c>
      <c r="B455" s="2">
        <v>55</v>
      </c>
      <c r="C455" s="2">
        <v>3.67</v>
      </c>
      <c r="D455" s="2">
        <v>216.6</v>
      </c>
      <c r="E455" s="6">
        <f>_xlfn.RANK.EQ(C455,C:C,0)</f>
        <v>493</v>
      </c>
      <c r="F455" s="6">
        <f>_xlfn.RANK.EQ(D455,D:D,0)</f>
        <v>338</v>
      </c>
      <c r="G455" s="2">
        <f>E455*0.7+F455*0.3</f>
        <v>446.49999999999994</v>
      </c>
      <c r="H455" s="7">
        <v>454</v>
      </c>
    </row>
    <row r="456" spans="1:8" ht="12.45" customHeight="1" x14ac:dyDescent="0.3">
      <c r="A456" s="2" t="s">
        <v>480</v>
      </c>
      <c r="B456" s="2">
        <v>52</v>
      </c>
      <c r="C456" s="2">
        <v>3.8</v>
      </c>
      <c r="D456" s="2">
        <v>197.75</v>
      </c>
      <c r="E456" s="6">
        <f>_xlfn.RANK.EQ(C456,C:C,0)</f>
        <v>435</v>
      </c>
      <c r="F456" s="6">
        <f>_xlfn.RANK.EQ(D456,D:D,0)</f>
        <v>476</v>
      </c>
      <c r="G456" s="2">
        <f>E456*0.7+F456*0.3</f>
        <v>447.29999999999995</v>
      </c>
      <c r="H456" s="7">
        <v>455</v>
      </c>
    </row>
    <row r="457" spans="1:8" ht="12.45" customHeight="1" x14ac:dyDescent="0.3">
      <c r="A457" s="2" t="s">
        <v>481</v>
      </c>
      <c r="B457" s="2">
        <v>53.5</v>
      </c>
      <c r="C457" s="2">
        <v>3.77</v>
      </c>
      <c r="D457" s="2">
        <v>201.6</v>
      </c>
      <c r="E457" s="6">
        <f>_xlfn.RANK.EQ(C457,C:C,0)</f>
        <v>449</v>
      </c>
      <c r="F457" s="6">
        <f>_xlfn.RANK.EQ(D457,D:D,0)</f>
        <v>449</v>
      </c>
      <c r="G457" s="2">
        <f>E457*0.7+F457*0.3</f>
        <v>448.99999999999994</v>
      </c>
      <c r="H457" s="7">
        <v>456</v>
      </c>
    </row>
    <row r="458" spans="1:8" ht="12.45" customHeight="1" x14ac:dyDescent="0.3">
      <c r="A458" s="2" t="s">
        <v>482</v>
      </c>
      <c r="B458" s="2">
        <v>50.5</v>
      </c>
      <c r="C458" s="2">
        <v>3.82</v>
      </c>
      <c r="D458" s="2">
        <v>192.75</v>
      </c>
      <c r="E458" s="6">
        <f>_xlfn.RANK.EQ(C458,C:C,0)</f>
        <v>425</v>
      </c>
      <c r="F458" s="6">
        <f>_xlfn.RANK.EQ(D458,D:D,0)</f>
        <v>505</v>
      </c>
      <c r="G458" s="2">
        <f>E458*0.7+F458*0.3</f>
        <v>449</v>
      </c>
      <c r="H458" s="7">
        <v>456</v>
      </c>
    </row>
    <row r="459" spans="1:8" ht="12.45" customHeight="1" x14ac:dyDescent="0.3">
      <c r="A459" s="2" t="s">
        <v>483</v>
      </c>
      <c r="B459" s="2">
        <v>56.5</v>
      </c>
      <c r="C459" s="2">
        <v>3.71</v>
      </c>
      <c r="D459" s="2">
        <v>209.75</v>
      </c>
      <c r="E459" s="6">
        <f>_xlfn.RANK.EQ(C459,C:C,0)</f>
        <v>477</v>
      </c>
      <c r="F459" s="6">
        <f>_xlfn.RANK.EQ(D459,D:D,0)</f>
        <v>390</v>
      </c>
      <c r="G459" s="2">
        <f>E459*0.7+F459*0.3</f>
        <v>450.9</v>
      </c>
      <c r="H459" s="7">
        <v>458</v>
      </c>
    </row>
    <row r="460" spans="1:8" ht="12.45" customHeight="1" x14ac:dyDescent="0.3">
      <c r="A460" s="2" t="s">
        <v>484</v>
      </c>
      <c r="B460" s="2">
        <v>54</v>
      </c>
      <c r="C460" s="2">
        <v>3.76</v>
      </c>
      <c r="D460" s="2">
        <v>203.3</v>
      </c>
      <c r="E460" s="6">
        <f>_xlfn.RANK.EQ(C460,C:C,0)</f>
        <v>456</v>
      </c>
      <c r="F460" s="6">
        <f>_xlfn.RANK.EQ(D460,D:D,0)</f>
        <v>441</v>
      </c>
      <c r="G460" s="2">
        <f>E460*0.7+F460*0.3</f>
        <v>451.5</v>
      </c>
      <c r="H460" s="7">
        <v>459</v>
      </c>
    </row>
    <row r="461" spans="1:8" ht="12.45" customHeight="1" x14ac:dyDescent="0.3">
      <c r="A461" s="2" t="s">
        <v>485</v>
      </c>
      <c r="B461" s="2">
        <v>50</v>
      </c>
      <c r="C461" s="2">
        <v>3.82</v>
      </c>
      <c r="D461" s="2">
        <v>190.8</v>
      </c>
      <c r="E461" s="6">
        <f>_xlfn.RANK.EQ(C461,C:C,0)</f>
        <v>425</v>
      </c>
      <c r="F461" s="6">
        <f>_xlfn.RANK.EQ(D461,D:D,0)</f>
        <v>522</v>
      </c>
      <c r="G461" s="2">
        <f>E461*0.7+F461*0.3</f>
        <v>454.1</v>
      </c>
      <c r="H461" s="7">
        <v>460</v>
      </c>
    </row>
    <row r="462" spans="1:8" ht="12.45" customHeight="1" x14ac:dyDescent="0.3">
      <c r="A462" s="2" t="s">
        <v>486</v>
      </c>
      <c r="B462" s="2">
        <v>53.5</v>
      </c>
      <c r="C462" s="2">
        <v>3.76</v>
      </c>
      <c r="D462" s="2">
        <v>201</v>
      </c>
      <c r="E462" s="6">
        <f>_xlfn.RANK.EQ(C462,C:C,0)</f>
        <v>456</v>
      </c>
      <c r="F462" s="6">
        <f>_xlfn.RANK.EQ(D462,D:D,0)</f>
        <v>454</v>
      </c>
      <c r="G462" s="2">
        <f>E462*0.7+F462*0.3</f>
        <v>455.4</v>
      </c>
      <c r="H462" s="7">
        <v>461</v>
      </c>
    </row>
    <row r="463" spans="1:8" ht="12.45" customHeight="1" x14ac:dyDescent="0.3">
      <c r="A463" s="2" t="s">
        <v>487</v>
      </c>
      <c r="B463" s="2">
        <v>60</v>
      </c>
      <c r="C463" s="2">
        <v>3.63</v>
      </c>
      <c r="D463" s="2">
        <v>218</v>
      </c>
      <c r="E463" s="6">
        <f>_xlfn.RANK.EQ(C463,C:C,0)</f>
        <v>511</v>
      </c>
      <c r="F463" s="6">
        <f>_xlfn.RANK.EQ(D463,D:D,0)</f>
        <v>326</v>
      </c>
      <c r="G463" s="2">
        <f>E463*0.7+F463*0.3</f>
        <v>455.5</v>
      </c>
      <c r="H463" s="7">
        <v>462</v>
      </c>
    </row>
    <row r="464" spans="1:8" ht="12.45" customHeight="1" x14ac:dyDescent="0.3">
      <c r="A464" s="2" t="s">
        <v>488</v>
      </c>
      <c r="B464" s="2">
        <v>56</v>
      </c>
      <c r="C464" s="2">
        <v>3.71</v>
      </c>
      <c r="D464" s="2">
        <v>207.75</v>
      </c>
      <c r="E464" s="6">
        <f>_xlfn.RANK.EQ(C464,C:C,0)</f>
        <v>477</v>
      </c>
      <c r="F464" s="6">
        <f>_xlfn.RANK.EQ(D464,D:D,0)</f>
        <v>409</v>
      </c>
      <c r="G464" s="2">
        <f>E464*0.7+F464*0.3</f>
        <v>456.59999999999997</v>
      </c>
      <c r="H464" s="7">
        <v>463</v>
      </c>
    </row>
    <row r="465" spans="1:8" ht="12.45" customHeight="1" x14ac:dyDescent="0.3">
      <c r="A465" s="2" t="s">
        <v>489</v>
      </c>
      <c r="B465" s="2">
        <v>56.5</v>
      </c>
      <c r="C465" s="2">
        <v>3.7</v>
      </c>
      <c r="D465" s="2">
        <v>209.25</v>
      </c>
      <c r="E465" s="6">
        <f>_xlfn.RANK.EQ(C465,C:C,0)</f>
        <v>484</v>
      </c>
      <c r="F465" s="6">
        <f>_xlfn.RANK.EQ(D465,D:D,0)</f>
        <v>397</v>
      </c>
      <c r="G465" s="2">
        <f>E465*0.7+F465*0.3</f>
        <v>457.9</v>
      </c>
      <c r="H465" s="7">
        <v>464</v>
      </c>
    </row>
    <row r="466" spans="1:8" ht="12.45" customHeight="1" x14ac:dyDescent="0.3">
      <c r="A466" s="2" t="s">
        <v>490</v>
      </c>
      <c r="B466" s="2">
        <v>50.5</v>
      </c>
      <c r="C466" s="2">
        <v>3.8</v>
      </c>
      <c r="D466" s="2">
        <v>191.7</v>
      </c>
      <c r="E466" s="6">
        <f>_xlfn.RANK.EQ(C466,C:C,0)</f>
        <v>435</v>
      </c>
      <c r="F466" s="6">
        <f>_xlfn.RANK.EQ(D466,D:D,0)</f>
        <v>513</v>
      </c>
      <c r="G466" s="2">
        <f>E466*0.7+F466*0.3</f>
        <v>458.4</v>
      </c>
      <c r="H466" s="7">
        <v>465</v>
      </c>
    </row>
    <row r="467" spans="1:8" ht="12.45" customHeight="1" x14ac:dyDescent="0.3">
      <c r="A467" s="2" t="s">
        <v>491</v>
      </c>
      <c r="B467" s="2">
        <v>51</v>
      </c>
      <c r="C467" s="2">
        <v>3.78</v>
      </c>
      <c r="D467" s="2">
        <v>192.85</v>
      </c>
      <c r="E467" s="6">
        <f>_xlfn.RANK.EQ(C467,C:C,0)</f>
        <v>440</v>
      </c>
      <c r="F467" s="6">
        <f>_xlfn.RANK.EQ(D467,D:D,0)</f>
        <v>504</v>
      </c>
      <c r="G467" s="2">
        <f>E467*0.7+F467*0.3</f>
        <v>459.2</v>
      </c>
      <c r="H467" s="7">
        <v>466</v>
      </c>
    </row>
    <row r="468" spans="1:8" ht="12.45" customHeight="1" x14ac:dyDescent="0.3">
      <c r="A468" s="2" t="s">
        <v>492</v>
      </c>
      <c r="B468" s="2">
        <v>50</v>
      </c>
      <c r="C468" s="2">
        <v>3.76</v>
      </c>
      <c r="D468" s="2">
        <v>197.45</v>
      </c>
      <c r="E468" s="6">
        <f>_xlfn.RANK.EQ(C468,C:C,0)</f>
        <v>456</v>
      </c>
      <c r="F468" s="6">
        <f>_xlfn.RANK.EQ(D468,D:D,0)</f>
        <v>477</v>
      </c>
      <c r="G468" s="2">
        <f>E468*0.7+F468*0.3</f>
        <v>462.29999999999995</v>
      </c>
      <c r="H468" s="7">
        <v>467</v>
      </c>
    </row>
    <row r="469" spans="1:8" ht="12.45" customHeight="1" x14ac:dyDescent="0.3">
      <c r="A469" s="2" t="s">
        <v>493</v>
      </c>
      <c r="B469" s="2">
        <v>56</v>
      </c>
      <c r="C469" s="2">
        <v>3.7</v>
      </c>
      <c r="D469" s="2">
        <v>207.3</v>
      </c>
      <c r="E469" s="6">
        <f>_xlfn.RANK.EQ(C469,C:C,0)</f>
        <v>484</v>
      </c>
      <c r="F469" s="6">
        <f>_xlfn.RANK.EQ(D469,D:D,0)</f>
        <v>412</v>
      </c>
      <c r="G469" s="2">
        <f>E469*0.7+F469*0.3</f>
        <v>462.4</v>
      </c>
      <c r="H469" s="7">
        <v>468</v>
      </c>
    </row>
    <row r="470" spans="1:8" ht="12.45" customHeight="1" x14ac:dyDescent="0.3">
      <c r="A470" s="2" t="s">
        <v>494</v>
      </c>
      <c r="B470" s="2">
        <v>56.5</v>
      </c>
      <c r="C470" s="2">
        <v>3.69</v>
      </c>
      <c r="D470" s="2">
        <v>208.55</v>
      </c>
      <c r="E470" s="6">
        <f>_xlfn.RANK.EQ(C470,C:C,0)</f>
        <v>488</v>
      </c>
      <c r="F470" s="6">
        <f>_xlfn.RANK.EQ(D470,D:D,0)</f>
        <v>404</v>
      </c>
      <c r="G470" s="2">
        <f>E470*0.7+F470*0.3</f>
        <v>462.79999999999995</v>
      </c>
      <c r="H470" s="7">
        <v>469</v>
      </c>
    </row>
    <row r="471" spans="1:8" ht="12.45" customHeight="1" x14ac:dyDescent="0.3">
      <c r="A471" s="2" t="s">
        <v>495</v>
      </c>
      <c r="B471" s="2">
        <v>50</v>
      </c>
      <c r="C471" s="2">
        <v>3.79</v>
      </c>
      <c r="D471" s="2">
        <v>189.55</v>
      </c>
      <c r="E471" s="6">
        <f>_xlfn.RANK.EQ(C471,C:C,0)</f>
        <v>437</v>
      </c>
      <c r="F471" s="6">
        <f>_xlfn.RANK.EQ(D471,D:D,0)</f>
        <v>529</v>
      </c>
      <c r="G471" s="2">
        <f>E471*0.7+F471*0.3</f>
        <v>464.59999999999997</v>
      </c>
      <c r="H471" s="7">
        <v>470</v>
      </c>
    </row>
    <row r="472" spans="1:8" ht="12.45" customHeight="1" x14ac:dyDescent="0.3">
      <c r="A472" s="2" t="s">
        <v>496</v>
      </c>
      <c r="B472" s="2">
        <v>50.5</v>
      </c>
      <c r="C472" s="2">
        <v>3.78</v>
      </c>
      <c r="D472" s="2">
        <v>190.7</v>
      </c>
      <c r="E472" s="6">
        <f>_xlfn.RANK.EQ(C472,C:C,0)</f>
        <v>440</v>
      </c>
      <c r="F472" s="6">
        <f>_xlfn.RANK.EQ(D472,D:D,0)</f>
        <v>523</v>
      </c>
      <c r="G472" s="2">
        <f>E472*0.7+F472*0.3</f>
        <v>464.9</v>
      </c>
      <c r="H472" s="7">
        <v>471</v>
      </c>
    </row>
    <row r="473" spans="1:8" ht="12.45" customHeight="1" x14ac:dyDescent="0.3">
      <c r="A473" s="2" t="s">
        <v>497</v>
      </c>
      <c r="B473" s="2">
        <v>53</v>
      </c>
      <c r="C473" s="2">
        <v>3.67</v>
      </c>
      <c r="D473" s="2">
        <v>208.95</v>
      </c>
      <c r="E473" s="6">
        <f>_xlfn.RANK.EQ(C473,C:C,0)</f>
        <v>493</v>
      </c>
      <c r="F473" s="6">
        <f>_xlfn.RANK.EQ(D473,D:D,0)</f>
        <v>402</v>
      </c>
      <c r="G473" s="2">
        <f>E473*0.7+F473*0.3</f>
        <v>465.69999999999993</v>
      </c>
      <c r="H473" s="7">
        <v>472</v>
      </c>
    </row>
    <row r="474" spans="1:8" ht="12.45" customHeight="1" x14ac:dyDescent="0.3">
      <c r="A474" s="2" t="s">
        <v>498</v>
      </c>
      <c r="B474" s="2">
        <v>57.5</v>
      </c>
      <c r="C474" s="2">
        <v>3.65</v>
      </c>
      <c r="D474" s="2">
        <v>210.15</v>
      </c>
      <c r="E474" s="6">
        <f>_xlfn.RANK.EQ(C474,C:C,0)</f>
        <v>502</v>
      </c>
      <c r="F474" s="6">
        <f>_xlfn.RANK.EQ(D474,D:D,0)</f>
        <v>383</v>
      </c>
      <c r="G474" s="2">
        <f>E474*0.7+F474*0.3</f>
        <v>466.29999999999995</v>
      </c>
      <c r="H474" s="7">
        <v>473</v>
      </c>
    </row>
    <row r="475" spans="1:8" ht="12.45" customHeight="1" x14ac:dyDescent="0.3">
      <c r="A475" s="2" t="s">
        <v>499</v>
      </c>
      <c r="B475" s="2">
        <v>52</v>
      </c>
      <c r="C475" s="2">
        <v>3.76</v>
      </c>
      <c r="D475" s="2">
        <v>195.45</v>
      </c>
      <c r="E475" s="6">
        <f>_xlfn.RANK.EQ(C475,C:C,0)</f>
        <v>456</v>
      </c>
      <c r="F475" s="6">
        <f>_xlfn.RANK.EQ(D475,D:D,0)</f>
        <v>491</v>
      </c>
      <c r="G475" s="2">
        <f>E475*0.7+F475*0.3</f>
        <v>466.5</v>
      </c>
      <c r="H475" s="7">
        <v>474</v>
      </c>
    </row>
    <row r="476" spans="1:8" ht="12.45" customHeight="1" x14ac:dyDescent="0.3">
      <c r="A476" s="2" t="s">
        <v>500</v>
      </c>
      <c r="B476" s="2">
        <v>53</v>
      </c>
      <c r="C476" s="2">
        <v>3.74</v>
      </c>
      <c r="D476" s="2">
        <v>198.3</v>
      </c>
      <c r="E476" s="6">
        <f>_xlfn.RANK.EQ(C476,C:C,0)</f>
        <v>466</v>
      </c>
      <c r="F476" s="6">
        <f>_xlfn.RANK.EQ(D476,D:D,0)</f>
        <v>473</v>
      </c>
      <c r="G476" s="2">
        <f>E476*0.7+F476*0.3</f>
        <v>468.1</v>
      </c>
      <c r="H476" s="7">
        <v>475</v>
      </c>
    </row>
    <row r="477" spans="1:8" ht="12.45" customHeight="1" x14ac:dyDescent="0.3">
      <c r="A477" s="2" t="s">
        <v>501</v>
      </c>
      <c r="B477" s="2">
        <v>53</v>
      </c>
      <c r="C477" s="2">
        <v>3.74</v>
      </c>
      <c r="D477" s="2">
        <v>198.3</v>
      </c>
      <c r="E477" s="6">
        <f>_xlfn.RANK.EQ(C477,C:C,0)</f>
        <v>466</v>
      </c>
      <c r="F477" s="6">
        <f>_xlfn.RANK.EQ(D477,D:D,0)</f>
        <v>473</v>
      </c>
      <c r="G477" s="2">
        <f>E477*0.7+F477*0.3</f>
        <v>468.1</v>
      </c>
      <c r="H477" s="7">
        <v>475</v>
      </c>
    </row>
    <row r="478" spans="1:8" ht="12.45" customHeight="1" x14ac:dyDescent="0.3">
      <c r="A478" s="2" t="s">
        <v>502</v>
      </c>
      <c r="B478" s="2">
        <v>55.5</v>
      </c>
      <c r="C478" s="2">
        <v>3.69</v>
      </c>
      <c r="D478" s="2">
        <v>204.6</v>
      </c>
      <c r="E478" s="6">
        <f>_xlfn.RANK.EQ(C478,C:C,0)</f>
        <v>488</v>
      </c>
      <c r="F478" s="6">
        <f>_xlfn.RANK.EQ(D478,D:D,0)</f>
        <v>428</v>
      </c>
      <c r="G478" s="2">
        <f>E478*0.7+F478*0.3</f>
        <v>470</v>
      </c>
      <c r="H478" s="7">
        <v>477</v>
      </c>
    </row>
    <row r="479" spans="1:8" ht="12.45" customHeight="1" x14ac:dyDescent="0.3">
      <c r="A479" s="2" t="s">
        <v>503</v>
      </c>
      <c r="B479" s="2">
        <v>54</v>
      </c>
      <c r="C479" s="2">
        <v>3.71</v>
      </c>
      <c r="D479" s="2">
        <v>200.55</v>
      </c>
      <c r="E479" s="6">
        <f>_xlfn.RANK.EQ(C479,C:C,0)</f>
        <v>477</v>
      </c>
      <c r="F479" s="6">
        <f>_xlfn.RANK.EQ(D479,D:D,0)</f>
        <v>458</v>
      </c>
      <c r="G479" s="2">
        <f>E479*0.7+F479*0.3</f>
        <v>471.29999999999995</v>
      </c>
      <c r="H479" s="7">
        <v>478</v>
      </c>
    </row>
    <row r="480" spans="1:8" ht="12.45" customHeight="1" x14ac:dyDescent="0.3">
      <c r="A480" s="2" t="s">
        <v>504</v>
      </c>
      <c r="B480" s="2">
        <v>56</v>
      </c>
      <c r="C480" s="2">
        <v>3.67</v>
      </c>
      <c r="D480" s="2">
        <v>205.7</v>
      </c>
      <c r="E480" s="6">
        <f>_xlfn.RANK.EQ(C480,C:C,0)</f>
        <v>493</v>
      </c>
      <c r="F480" s="6">
        <f>_xlfn.RANK.EQ(D480,D:D,0)</f>
        <v>421</v>
      </c>
      <c r="G480" s="2">
        <f>E480*0.7+F480*0.3</f>
        <v>471.4</v>
      </c>
      <c r="H480" s="7">
        <v>479</v>
      </c>
    </row>
    <row r="481" spans="1:8" ht="12.45" customHeight="1" x14ac:dyDescent="0.3">
      <c r="A481" s="2" t="s">
        <v>505</v>
      </c>
      <c r="B481" s="2">
        <v>50</v>
      </c>
      <c r="C481" s="2">
        <v>3.77</v>
      </c>
      <c r="D481" s="2">
        <v>188.7</v>
      </c>
      <c r="E481" s="6">
        <f>_xlfn.RANK.EQ(C481,C:C,0)</f>
        <v>449</v>
      </c>
      <c r="F481" s="6">
        <f>_xlfn.RANK.EQ(D481,D:D,0)</f>
        <v>532</v>
      </c>
      <c r="G481" s="2">
        <f>E481*0.7+F481*0.3</f>
        <v>473.9</v>
      </c>
      <c r="H481" s="7">
        <v>480</v>
      </c>
    </row>
    <row r="482" spans="1:8" ht="12.45" customHeight="1" x14ac:dyDescent="0.3">
      <c r="A482" s="2" t="s">
        <v>506</v>
      </c>
      <c r="B482" s="2">
        <v>48.5</v>
      </c>
      <c r="C482" s="2">
        <v>3.79</v>
      </c>
      <c r="D482" s="2">
        <v>183.6</v>
      </c>
      <c r="E482" s="6">
        <f>_xlfn.RANK.EQ(C482,C:C,0)</f>
        <v>437</v>
      </c>
      <c r="F482" s="6">
        <f>_xlfn.RANK.EQ(D482,D:D,0)</f>
        <v>561</v>
      </c>
      <c r="G482" s="2">
        <f>E482*0.7+F482*0.3</f>
        <v>474.19999999999993</v>
      </c>
      <c r="H482" s="7">
        <v>481</v>
      </c>
    </row>
    <row r="483" spans="1:8" ht="12.45" customHeight="1" x14ac:dyDescent="0.3">
      <c r="A483" s="2" t="s">
        <v>507</v>
      </c>
      <c r="B483" s="2">
        <v>53.5</v>
      </c>
      <c r="C483" s="2">
        <v>3.71</v>
      </c>
      <c r="D483" s="2">
        <v>198.35</v>
      </c>
      <c r="E483" s="6">
        <f>_xlfn.RANK.EQ(C483,C:C,0)</f>
        <v>477</v>
      </c>
      <c r="F483" s="6">
        <f>_xlfn.RANK.EQ(D483,D:D,0)</f>
        <v>472</v>
      </c>
      <c r="G483" s="2">
        <f>E483*0.7+F483*0.3</f>
        <v>475.5</v>
      </c>
      <c r="H483" s="7">
        <v>482</v>
      </c>
    </row>
    <row r="484" spans="1:8" ht="12.45" customHeight="1" x14ac:dyDescent="0.3">
      <c r="A484" s="2" t="s">
        <v>508</v>
      </c>
      <c r="B484" s="2">
        <v>55.5</v>
      </c>
      <c r="C484" s="2">
        <v>3.67</v>
      </c>
      <c r="D484" s="2">
        <v>203.6</v>
      </c>
      <c r="E484" s="6">
        <f>_xlfn.RANK.EQ(C484,C:C,0)</f>
        <v>493</v>
      </c>
      <c r="F484" s="6">
        <f>_xlfn.RANK.EQ(D484,D:D,0)</f>
        <v>438</v>
      </c>
      <c r="G484" s="2">
        <f>E484*0.7+F484*0.3</f>
        <v>476.5</v>
      </c>
      <c r="H484" s="7">
        <v>483</v>
      </c>
    </row>
    <row r="485" spans="1:8" ht="12.45" customHeight="1" x14ac:dyDescent="0.3">
      <c r="A485" s="2" t="s">
        <v>509</v>
      </c>
      <c r="B485" s="2">
        <v>54.5</v>
      </c>
      <c r="C485" s="2">
        <v>3.69</v>
      </c>
      <c r="D485" s="2">
        <v>200.85</v>
      </c>
      <c r="E485" s="6">
        <f>_xlfn.RANK.EQ(C485,C:C,0)</f>
        <v>488</v>
      </c>
      <c r="F485" s="6">
        <f>_xlfn.RANK.EQ(D485,D:D,0)</f>
        <v>456</v>
      </c>
      <c r="G485" s="2">
        <f>E485*0.7+F485*0.3</f>
        <v>478.4</v>
      </c>
      <c r="H485" s="7">
        <v>484</v>
      </c>
    </row>
    <row r="486" spans="1:8" ht="12.45" customHeight="1" x14ac:dyDescent="0.3">
      <c r="A486" s="2" t="s">
        <v>510</v>
      </c>
      <c r="B486" s="2">
        <v>50.5</v>
      </c>
      <c r="C486" s="2">
        <v>3.75</v>
      </c>
      <c r="D486" s="2">
        <v>189.2</v>
      </c>
      <c r="E486" s="6">
        <f>_xlfn.RANK.EQ(C486,C:C,0)</f>
        <v>461</v>
      </c>
      <c r="F486" s="6">
        <f>_xlfn.RANK.EQ(D486,D:D,0)</f>
        <v>531</v>
      </c>
      <c r="G486" s="2">
        <f>E486*0.7+F486*0.3</f>
        <v>482</v>
      </c>
      <c r="H486" s="7">
        <v>485</v>
      </c>
    </row>
    <row r="487" spans="1:8" ht="12.45" customHeight="1" x14ac:dyDescent="0.3">
      <c r="A487" s="2" t="s">
        <v>511</v>
      </c>
      <c r="B487" s="2">
        <v>51</v>
      </c>
      <c r="C487" s="2">
        <v>3.74</v>
      </c>
      <c r="D487" s="2">
        <v>190.95</v>
      </c>
      <c r="E487" s="6">
        <f>_xlfn.RANK.EQ(C487,C:C,0)</f>
        <v>466</v>
      </c>
      <c r="F487" s="6">
        <f>_xlfn.RANK.EQ(D487,D:D,0)</f>
        <v>520</v>
      </c>
      <c r="G487" s="2">
        <f>E487*0.7+F487*0.3</f>
        <v>482.2</v>
      </c>
      <c r="H487" s="7">
        <v>486</v>
      </c>
    </row>
    <row r="488" spans="1:8" ht="12.45" customHeight="1" x14ac:dyDescent="0.3">
      <c r="A488" s="2" t="s">
        <v>512</v>
      </c>
      <c r="B488" s="2">
        <v>49.5</v>
      </c>
      <c r="C488" s="2">
        <v>3.73</v>
      </c>
      <c r="D488" s="2">
        <v>191.9</v>
      </c>
      <c r="E488" s="6">
        <f>_xlfn.RANK.EQ(C488,C:C,0)</f>
        <v>471</v>
      </c>
      <c r="F488" s="6">
        <f>_xlfn.RANK.EQ(D488,D:D,0)</f>
        <v>511</v>
      </c>
      <c r="G488" s="2">
        <f>E488*0.7+F488*0.3</f>
        <v>483</v>
      </c>
      <c r="H488" s="7">
        <v>487</v>
      </c>
    </row>
    <row r="489" spans="1:8" ht="12.45" customHeight="1" x14ac:dyDescent="0.3">
      <c r="A489" s="2" t="s">
        <v>513</v>
      </c>
      <c r="B489" s="2">
        <v>54</v>
      </c>
      <c r="C489" s="2">
        <v>3.68</v>
      </c>
      <c r="D489" s="2">
        <v>198.6</v>
      </c>
      <c r="E489" s="6">
        <f>_xlfn.RANK.EQ(C489,C:C,0)</f>
        <v>491</v>
      </c>
      <c r="F489" s="6">
        <f>_xlfn.RANK.EQ(D489,D:D,0)</f>
        <v>471</v>
      </c>
      <c r="G489" s="2">
        <f>E489*0.7+F489*0.3</f>
        <v>485</v>
      </c>
      <c r="H489" s="7">
        <v>488</v>
      </c>
    </row>
    <row r="490" spans="1:8" ht="12.45" customHeight="1" x14ac:dyDescent="0.3">
      <c r="A490" s="2" t="s">
        <v>514</v>
      </c>
      <c r="B490" s="2">
        <v>53</v>
      </c>
      <c r="C490" s="2">
        <v>3.7</v>
      </c>
      <c r="D490" s="2">
        <v>196.35</v>
      </c>
      <c r="E490" s="6">
        <f>_xlfn.RANK.EQ(C490,C:C,0)</f>
        <v>484</v>
      </c>
      <c r="F490" s="6">
        <f>_xlfn.RANK.EQ(D490,D:D,0)</f>
        <v>488</v>
      </c>
      <c r="G490" s="2">
        <f>E490*0.7+F490*0.3</f>
        <v>485.19999999999993</v>
      </c>
      <c r="H490" s="7">
        <v>489</v>
      </c>
    </row>
    <row r="491" spans="1:8" ht="12.45" customHeight="1" x14ac:dyDescent="0.3">
      <c r="A491" s="2" t="s">
        <v>515</v>
      </c>
      <c r="B491" s="2">
        <v>51.5</v>
      </c>
      <c r="C491" s="2">
        <v>3.72</v>
      </c>
      <c r="D491" s="2">
        <v>191.8</v>
      </c>
      <c r="E491" s="6">
        <f>_xlfn.RANK.EQ(C491,C:C,0)</f>
        <v>474</v>
      </c>
      <c r="F491" s="6">
        <f>_xlfn.RANK.EQ(D491,D:D,0)</f>
        <v>512</v>
      </c>
      <c r="G491" s="2">
        <f>E491*0.7+F491*0.3</f>
        <v>485.4</v>
      </c>
      <c r="H491" s="7">
        <v>490</v>
      </c>
    </row>
    <row r="492" spans="1:8" ht="12.45" customHeight="1" x14ac:dyDescent="0.3">
      <c r="A492" s="2" t="s">
        <v>516</v>
      </c>
      <c r="B492" s="2">
        <v>51.5</v>
      </c>
      <c r="C492" s="2">
        <v>3.72</v>
      </c>
      <c r="D492" s="2">
        <v>191.7</v>
      </c>
      <c r="E492" s="6">
        <f>_xlfn.RANK.EQ(C492,C:C,0)</f>
        <v>474</v>
      </c>
      <c r="F492" s="6">
        <f>_xlfn.RANK.EQ(D492,D:D,0)</f>
        <v>513</v>
      </c>
      <c r="G492" s="2">
        <f>E492*0.7+F492*0.3</f>
        <v>485.69999999999993</v>
      </c>
      <c r="H492" s="7">
        <v>491</v>
      </c>
    </row>
    <row r="493" spans="1:8" ht="12.45" customHeight="1" x14ac:dyDescent="0.3">
      <c r="A493" s="2" t="s">
        <v>517</v>
      </c>
      <c r="B493" s="2">
        <v>48</v>
      </c>
      <c r="C493" s="2">
        <v>3.77</v>
      </c>
      <c r="D493" s="2">
        <v>180.85</v>
      </c>
      <c r="E493" s="6">
        <f>_xlfn.RANK.EQ(C493,C:C,0)</f>
        <v>449</v>
      </c>
      <c r="F493" s="6">
        <f>_xlfn.RANK.EQ(D493,D:D,0)</f>
        <v>573</v>
      </c>
      <c r="G493" s="2">
        <f>E493*0.7+F493*0.3</f>
        <v>486.19999999999993</v>
      </c>
      <c r="H493" s="7">
        <v>492</v>
      </c>
    </row>
    <row r="494" spans="1:8" ht="12.45" customHeight="1" x14ac:dyDescent="0.3">
      <c r="A494" s="2" t="s">
        <v>518</v>
      </c>
      <c r="B494" s="2">
        <v>51.5</v>
      </c>
      <c r="C494" s="2">
        <v>3.72</v>
      </c>
      <c r="D494" s="2">
        <v>191.4</v>
      </c>
      <c r="E494" s="6">
        <f>_xlfn.RANK.EQ(C494,C:C,0)</f>
        <v>474</v>
      </c>
      <c r="F494" s="6">
        <f>_xlfn.RANK.EQ(D494,D:D,0)</f>
        <v>516</v>
      </c>
      <c r="G494" s="2">
        <f>E494*0.7+F494*0.3</f>
        <v>486.59999999999991</v>
      </c>
      <c r="H494" s="7">
        <v>493</v>
      </c>
    </row>
    <row r="495" spans="1:8" ht="12.45" customHeight="1" x14ac:dyDescent="0.3">
      <c r="A495" s="2" t="s">
        <v>519</v>
      </c>
      <c r="B495" s="2">
        <v>50.5</v>
      </c>
      <c r="C495" s="2">
        <v>3.68</v>
      </c>
      <c r="D495" s="2">
        <v>196.9</v>
      </c>
      <c r="E495" s="6">
        <f>_xlfn.RANK.EQ(C495,C:C,0)</f>
        <v>491</v>
      </c>
      <c r="F495" s="6">
        <f>_xlfn.RANK.EQ(D495,D:D,0)</f>
        <v>483</v>
      </c>
      <c r="G495" s="2">
        <f>E495*0.7+F495*0.3</f>
        <v>488.6</v>
      </c>
      <c r="H495" s="7">
        <v>494</v>
      </c>
    </row>
    <row r="496" spans="1:8" ht="12.45" customHeight="1" x14ac:dyDescent="0.3">
      <c r="A496" s="2" t="s">
        <v>520</v>
      </c>
      <c r="B496" s="2">
        <v>50.5</v>
      </c>
      <c r="C496" s="2">
        <v>3.73</v>
      </c>
      <c r="D496" s="2">
        <v>188.25</v>
      </c>
      <c r="E496" s="6">
        <f>_xlfn.RANK.EQ(C496,C:C,0)</f>
        <v>471</v>
      </c>
      <c r="F496" s="6">
        <f>_xlfn.RANK.EQ(D496,D:D,0)</f>
        <v>536</v>
      </c>
      <c r="G496" s="2">
        <f>E496*0.7+F496*0.3</f>
        <v>490.5</v>
      </c>
      <c r="H496" s="7">
        <v>495</v>
      </c>
    </row>
    <row r="497" spans="1:8" ht="12.45" customHeight="1" x14ac:dyDescent="0.3">
      <c r="A497" s="2" t="s">
        <v>521</v>
      </c>
      <c r="B497" s="2">
        <v>56.5</v>
      </c>
      <c r="C497" s="2">
        <v>3.62</v>
      </c>
      <c r="D497" s="2">
        <v>204.45</v>
      </c>
      <c r="E497" s="6">
        <f>_xlfn.RANK.EQ(C497,C:C,0)</f>
        <v>517</v>
      </c>
      <c r="F497" s="6">
        <f>_xlfn.RANK.EQ(D497,D:D,0)</f>
        <v>431</v>
      </c>
      <c r="G497" s="2">
        <f>E497*0.7+F497*0.3</f>
        <v>491.19999999999993</v>
      </c>
      <c r="H497" s="7">
        <v>496</v>
      </c>
    </row>
    <row r="498" spans="1:8" ht="12.45" customHeight="1" x14ac:dyDescent="0.3">
      <c r="A498" s="2" t="s">
        <v>522</v>
      </c>
      <c r="B498" s="2">
        <v>53.5</v>
      </c>
      <c r="C498" s="2">
        <v>3.67</v>
      </c>
      <c r="D498" s="2">
        <v>196.55</v>
      </c>
      <c r="E498" s="6">
        <f>_xlfn.RANK.EQ(C498,C:C,0)</f>
        <v>493</v>
      </c>
      <c r="F498" s="6">
        <f>_xlfn.RANK.EQ(D498,D:D,0)</f>
        <v>487</v>
      </c>
      <c r="G498" s="2">
        <f>E498*0.7+F498*0.3</f>
        <v>491.19999999999993</v>
      </c>
      <c r="H498" s="7">
        <v>496</v>
      </c>
    </row>
    <row r="499" spans="1:8" ht="12.45" customHeight="1" x14ac:dyDescent="0.3">
      <c r="A499" s="2" t="s">
        <v>523</v>
      </c>
      <c r="B499" s="2">
        <v>59.5</v>
      </c>
      <c r="C499" s="2">
        <v>3.54</v>
      </c>
      <c r="D499" s="2">
        <v>210.75</v>
      </c>
      <c r="E499" s="6">
        <f>_xlfn.RANK.EQ(C499,C:C,0)</f>
        <v>539</v>
      </c>
      <c r="F499" s="6">
        <f>_xlfn.RANK.EQ(D499,D:D,0)</f>
        <v>381</v>
      </c>
      <c r="G499" s="2">
        <f>E499*0.7+F499*0.3</f>
        <v>491.59999999999997</v>
      </c>
      <c r="H499" s="7">
        <v>498</v>
      </c>
    </row>
    <row r="500" spans="1:8" ht="12.45" customHeight="1" x14ac:dyDescent="0.3">
      <c r="A500" s="2" t="s">
        <v>524</v>
      </c>
      <c r="B500" s="2">
        <v>51</v>
      </c>
      <c r="C500" s="2">
        <v>3.71</v>
      </c>
      <c r="D500" s="2">
        <v>189.35</v>
      </c>
      <c r="E500" s="6">
        <f>_xlfn.RANK.EQ(C500,C:C,0)</f>
        <v>477</v>
      </c>
      <c r="F500" s="6">
        <f>_xlfn.RANK.EQ(D500,D:D,0)</f>
        <v>530</v>
      </c>
      <c r="G500" s="2">
        <f>E500*0.7+F500*0.3</f>
        <v>492.9</v>
      </c>
      <c r="H500" s="7">
        <v>499</v>
      </c>
    </row>
    <row r="501" spans="1:8" ht="12.45" customHeight="1" x14ac:dyDescent="0.3">
      <c r="A501" s="2" t="s">
        <v>525</v>
      </c>
      <c r="B501" s="2">
        <v>55</v>
      </c>
      <c r="C501" s="2">
        <v>3.64</v>
      </c>
      <c r="D501" s="2">
        <v>200</v>
      </c>
      <c r="E501" s="6">
        <f>_xlfn.RANK.EQ(C501,C:C,0)</f>
        <v>507</v>
      </c>
      <c r="F501" s="6">
        <f>_xlfn.RANK.EQ(D501,D:D,0)</f>
        <v>461</v>
      </c>
      <c r="G501" s="2">
        <f>E501*0.7+F501*0.3</f>
        <v>493.19999999999993</v>
      </c>
      <c r="H501" s="7">
        <v>500</v>
      </c>
    </row>
    <row r="502" spans="1:8" ht="12.45" customHeight="1" x14ac:dyDescent="0.3">
      <c r="A502" s="2" t="s">
        <v>526</v>
      </c>
      <c r="B502" s="2">
        <v>60.5</v>
      </c>
      <c r="C502" s="2">
        <v>3.51</v>
      </c>
      <c r="D502" s="2">
        <v>212.3</v>
      </c>
      <c r="E502" s="6">
        <f>_xlfn.RANK.EQ(C502,C:C,0)</f>
        <v>548</v>
      </c>
      <c r="F502" s="6">
        <f>_xlfn.RANK.EQ(D502,D:D,0)</f>
        <v>371</v>
      </c>
      <c r="G502" s="2">
        <f>E502*0.7+F502*0.3</f>
        <v>494.9</v>
      </c>
      <c r="H502" s="7">
        <v>501</v>
      </c>
    </row>
    <row r="503" spans="1:8" ht="12.45" customHeight="1" x14ac:dyDescent="0.3">
      <c r="A503" s="2" t="s">
        <v>527</v>
      </c>
      <c r="B503" s="2">
        <v>54</v>
      </c>
      <c r="C503" s="2">
        <v>3.65</v>
      </c>
      <c r="D503" s="2">
        <v>196.95</v>
      </c>
      <c r="E503" s="6">
        <f>_xlfn.RANK.EQ(C503,C:C,0)</f>
        <v>502</v>
      </c>
      <c r="F503" s="6">
        <f>_xlfn.RANK.EQ(D503,D:D,0)</f>
        <v>481</v>
      </c>
      <c r="G503" s="2">
        <f>E503*0.7+F503*0.3</f>
        <v>495.69999999999993</v>
      </c>
      <c r="H503" s="7">
        <v>502</v>
      </c>
    </row>
    <row r="504" spans="1:8" ht="12.45" customHeight="1" x14ac:dyDescent="0.3">
      <c r="A504" s="2" t="s">
        <v>528</v>
      </c>
      <c r="B504" s="2">
        <v>50.5</v>
      </c>
      <c r="C504" s="2">
        <v>3.71</v>
      </c>
      <c r="D504" s="2">
        <v>187.2</v>
      </c>
      <c r="E504" s="6">
        <f>_xlfn.RANK.EQ(C504,C:C,0)</f>
        <v>477</v>
      </c>
      <c r="F504" s="6">
        <f>_xlfn.RANK.EQ(D504,D:D,0)</f>
        <v>541</v>
      </c>
      <c r="G504" s="2">
        <f>E504*0.7+F504*0.3</f>
        <v>496.19999999999993</v>
      </c>
      <c r="H504" s="7">
        <v>503</v>
      </c>
    </row>
    <row r="505" spans="1:8" ht="12.45" customHeight="1" x14ac:dyDescent="0.3">
      <c r="A505" s="2" t="s">
        <v>529</v>
      </c>
      <c r="B505" s="2">
        <v>55</v>
      </c>
      <c r="C505" s="2">
        <v>3.63</v>
      </c>
      <c r="D505" s="2">
        <v>199.5</v>
      </c>
      <c r="E505" s="6">
        <f>_xlfn.RANK.EQ(C505,C:C,0)</f>
        <v>511</v>
      </c>
      <c r="F505" s="6">
        <f>_xlfn.RANK.EQ(D505,D:D,0)</f>
        <v>466</v>
      </c>
      <c r="G505" s="2">
        <f>E505*0.7+F505*0.3</f>
        <v>497.5</v>
      </c>
      <c r="H505" s="7">
        <v>504</v>
      </c>
    </row>
    <row r="506" spans="1:8" ht="12.45" customHeight="1" x14ac:dyDescent="0.3">
      <c r="A506" s="2" t="s">
        <v>530</v>
      </c>
      <c r="B506" s="2">
        <v>47.5</v>
      </c>
      <c r="C506" s="2">
        <v>3.75</v>
      </c>
      <c r="D506" s="2">
        <v>178.05</v>
      </c>
      <c r="E506" s="6">
        <f>_xlfn.RANK.EQ(C506,C:C,0)</f>
        <v>461</v>
      </c>
      <c r="F506" s="6">
        <f>_xlfn.RANK.EQ(D506,D:D,0)</f>
        <v>584</v>
      </c>
      <c r="G506" s="2">
        <f>E506*0.7+F506*0.3</f>
        <v>497.9</v>
      </c>
      <c r="H506" s="7">
        <v>505</v>
      </c>
    </row>
    <row r="507" spans="1:8" ht="12.45" customHeight="1" x14ac:dyDescent="0.3">
      <c r="A507" s="2" t="s">
        <v>531</v>
      </c>
      <c r="B507" s="2">
        <v>53</v>
      </c>
      <c r="C507" s="2">
        <v>3.66</v>
      </c>
      <c r="D507" s="2">
        <v>194.2</v>
      </c>
      <c r="E507" s="6">
        <f>_xlfn.RANK.EQ(C507,C:C,0)</f>
        <v>499</v>
      </c>
      <c r="F507" s="6">
        <f>_xlfn.RANK.EQ(D507,D:D,0)</f>
        <v>496</v>
      </c>
      <c r="G507" s="2">
        <f>E507*0.7+F507*0.3</f>
        <v>498.09999999999991</v>
      </c>
      <c r="H507" s="7">
        <v>506</v>
      </c>
    </row>
    <row r="508" spans="1:8" ht="12.45" customHeight="1" x14ac:dyDescent="0.3">
      <c r="A508" s="2" t="s">
        <v>532</v>
      </c>
      <c r="B508" s="2">
        <v>54</v>
      </c>
      <c r="C508" s="2">
        <v>3.62</v>
      </c>
      <c r="D508" s="2">
        <v>201</v>
      </c>
      <c r="E508" s="6">
        <f>_xlfn.RANK.EQ(C508,C:C,0)</f>
        <v>517</v>
      </c>
      <c r="F508" s="6">
        <f>_xlfn.RANK.EQ(D508,D:D,0)</f>
        <v>454</v>
      </c>
      <c r="G508" s="2">
        <f>E508*0.7+F508*0.3</f>
        <v>498.09999999999997</v>
      </c>
      <c r="H508" s="7">
        <v>506</v>
      </c>
    </row>
    <row r="509" spans="1:8" ht="12.45" customHeight="1" x14ac:dyDescent="0.3">
      <c r="A509" s="2" t="s">
        <v>533</v>
      </c>
      <c r="B509" s="2">
        <v>53</v>
      </c>
      <c r="C509" s="2">
        <v>3.66</v>
      </c>
      <c r="D509" s="2">
        <v>193.85</v>
      </c>
      <c r="E509" s="6">
        <f>_xlfn.RANK.EQ(C509,C:C,0)</f>
        <v>499</v>
      </c>
      <c r="F509" s="6">
        <f>_xlfn.RANK.EQ(D509,D:D,0)</f>
        <v>499</v>
      </c>
      <c r="G509" s="2">
        <f>E509*0.7+F509*0.3</f>
        <v>498.99999999999994</v>
      </c>
      <c r="H509" s="7">
        <v>508</v>
      </c>
    </row>
    <row r="510" spans="1:8" ht="12.45" customHeight="1" x14ac:dyDescent="0.3">
      <c r="A510" s="2" t="s">
        <v>535</v>
      </c>
      <c r="B510" s="2">
        <v>50</v>
      </c>
      <c r="C510" s="2">
        <v>3.71</v>
      </c>
      <c r="D510" s="2">
        <v>185.6</v>
      </c>
      <c r="E510" s="6">
        <f>_xlfn.RANK.EQ(C510,C:C,0)</f>
        <v>477</v>
      </c>
      <c r="F510" s="6">
        <f>_xlfn.RANK.EQ(D510,D:D,0)</f>
        <v>551</v>
      </c>
      <c r="G510" s="2">
        <f>E510*0.7+F510*0.3</f>
        <v>499.19999999999993</v>
      </c>
      <c r="H510" s="7">
        <v>509</v>
      </c>
    </row>
    <row r="511" spans="1:8" ht="12.45" customHeight="1" x14ac:dyDescent="0.3">
      <c r="A511" s="2" t="s">
        <v>534</v>
      </c>
      <c r="B511" s="2">
        <v>57.5</v>
      </c>
      <c r="C511" s="2">
        <v>3.57</v>
      </c>
      <c r="D511" s="2">
        <v>205.05</v>
      </c>
      <c r="E511" s="6">
        <f>_xlfn.RANK.EQ(C511,C:C,0)</f>
        <v>531</v>
      </c>
      <c r="F511" s="6">
        <f>_xlfn.RANK.EQ(D511,D:D,0)</f>
        <v>425</v>
      </c>
      <c r="G511" s="2">
        <f>E511*0.7+F511*0.3</f>
        <v>499.2</v>
      </c>
      <c r="H511" s="7">
        <v>509</v>
      </c>
    </row>
    <row r="512" spans="1:8" ht="12.45" customHeight="1" x14ac:dyDescent="0.3">
      <c r="A512" s="2" t="s">
        <v>536</v>
      </c>
      <c r="B512" s="2">
        <v>57</v>
      </c>
      <c r="C512" s="2">
        <v>3.58</v>
      </c>
      <c r="D512" s="2">
        <v>204.15</v>
      </c>
      <c r="E512" s="6">
        <f>_xlfn.RANK.EQ(C512,C:C,0)</f>
        <v>528</v>
      </c>
      <c r="F512" s="6">
        <f>_xlfn.RANK.EQ(D512,D:D,0)</f>
        <v>434</v>
      </c>
      <c r="G512" s="2">
        <f>E512*0.7+F512*0.3</f>
        <v>499.79999999999995</v>
      </c>
      <c r="H512" s="7">
        <v>511</v>
      </c>
    </row>
    <row r="513" spans="1:8" ht="12.45" customHeight="1" x14ac:dyDescent="0.3">
      <c r="A513" s="2" t="s">
        <v>537</v>
      </c>
      <c r="B513" s="2">
        <v>55</v>
      </c>
      <c r="C513" s="2">
        <v>3.6</v>
      </c>
      <c r="D513" s="2">
        <v>201.55</v>
      </c>
      <c r="E513" s="6">
        <f>_xlfn.RANK.EQ(C513,C:C,0)</f>
        <v>522</v>
      </c>
      <c r="F513" s="6">
        <f>_xlfn.RANK.EQ(D513,D:D,0)</f>
        <v>450</v>
      </c>
      <c r="G513" s="2">
        <f>E513*0.7+F513*0.3</f>
        <v>500.4</v>
      </c>
      <c r="H513" s="7">
        <v>512</v>
      </c>
    </row>
    <row r="514" spans="1:8" ht="12.45" customHeight="1" x14ac:dyDescent="0.3">
      <c r="A514" s="2" t="s">
        <v>538</v>
      </c>
      <c r="B514" s="2">
        <v>53</v>
      </c>
      <c r="C514" s="2">
        <v>3.65</v>
      </c>
      <c r="D514" s="2">
        <v>193.65</v>
      </c>
      <c r="E514" s="6">
        <f>_xlfn.RANK.EQ(C514,C:C,0)</f>
        <v>502</v>
      </c>
      <c r="F514" s="6">
        <f>_xlfn.RANK.EQ(D514,D:D,0)</f>
        <v>501</v>
      </c>
      <c r="G514" s="2">
        <f>E514*0.7+F514*0.3</f>
        <v>501.69999999999993</v>
      </c>
      <c r="H514" s="7">
        <v>513</v>
      </c>
    </row>
    <row r="515" spans="1:8" ht="12.45" customHeight="1" x14ac:dyDescent="0.3">
      <c r="A515" s="2" t="s">
        <v>539</v>
      </c>
      <c r="B515" s="2">
        <v>53</v>
      </c>
      <c r="C515" s="2">
        <v>3.65</v>
      </c>
      <c r="D515" s="2">
        <v>193.6</v>
      </c>
      <c r="E515" s="6">
        <f>_xlfn.RANK.EQ(C515,C:C,0)</f>
        <v>502</v>
      </c>
      <c r="F515" s="6">
        <f>_xlfn.RANK.EQ(D515,D:D,0)</f>
        <v>502</v>
      </c>
      <c r="G515" s="2">
        <f>E515*0.7+F515*0.3</f>
        <v>502</v>
      </c>
      <c r="H515" s="7">
        <v>514</v>
      </c>
    </row>
    <row r="516" spans="1:8" ht="12.45" customHeight="1" x14ac:dyDescent="0.3">
      <c r="A516" s="2" t="s">
        <v>540</v>
      </c>
      <c r="B516" s="2">
        <v>45.5</v>
      </c>
      <c r="C516" s="2">
        <v>3.76</v>
      </c>
      <c r="D516" s="2">
        <v>171</v>
      </c>
      <c r="E516" s="6">
        <f>_xlfn.RANK.EQ(C516,C:C,0)</f>
        <v>456</v>
      </c>
      <c r="F516" s="6">
        <f>_xlfn.RANK.EQ(D516,D:D,0)</f>
        <v>611</v>
      </c>
      <c r="G516" s="2">
        <f>E516*0.7+F516*0.3</f>
        <v>502.5</v>
      </c>
      <c r="H516" s="7">
        <v>515</v>
      </c>
    </row>
    <row r="517" spans="1:8" ht="12.45" customHeight="1" x14ac:dyDescent="0.3">
      <c r="A517" s="2" t="s">
        <v>541</v>
      </c>
      <c r="B517" s="2">
        <v>54</v>
      </c>
      <c r="C517" s="2">
        <v>3.63</v>
      </c>
      <c r="D517" s="2">
        <v>196.1</v>
      </c>
      <c r="E517" s="6">
        <f>_xlfn.RANK.EQ(C517,C:C,0)</f>
        <v>511</v>
      </c>
      <c r="F517" s="6">
        <f>_xlfn.RANK.EQ(D517,D:D,0)</f>
        <v>489</v>
      </c>
      <c r="G517" s="2">
        <f>E517*0.7+F517*0.3</f>
        <v>504.4</v>
      </c>
      <c r="H517" s="7">
        <v>516</v>
      </c>
    </row>
    <row r="518" spans="1:8" ht="12.45" customHeight="1" x14ac:dyDescent="0.3">
      <c r="A518" s="2" t="s">
        <v>542</v>
      </c>
      <c r="B518" s="2">
        <v>58</v>
      </c>
      <c r="C518" s="2">
        <v>3.54</v>
      </c>
      <c r="D518" s="2">
        <v>205.05</v>
      </c>
      <c r="E518" s="6">
        <f>_xlfn.RANK.EQ(C518,C:C,0)</f>
        <v>539</v>
      </c>
      <c r="F518" s="6">
        <f>_xlfn.RANK.EQ(D518,D:D,0)</f>
        <v>425</v>
      </c>
      <c r="G518" s="2">
        <f>E518*0.7+F518*0.3</f>
        <v>504.79999999999995</v>
      </c>
      <c r="H518" s="7">
        <v>517</v>
      </c>
    </row>
    <row r="519" spans="1:8" ht="12.45" customHeight="1" x14ac:dyDescent="0.3">
      <c r="A519" s="2" t="s">
        <v>543</v>
      </c>
      <c r="B519" s="2">
        <v>55.5</v>
      </c>
      <c r="C519" s="2">
        <v>3.59</v>
      </c>
      <c r="D519" s="2">
        <v>199.1</v>
      </c>
      <c r="E519" s="6">
        <f>_xlfn.RANK.EQ(C519,C:C,0)</f>
        <v>523</v>
      </c>
      <c r="F519" s="6">
        <f>_xlfn.RANK.EQ(D519,D:D,0)</f>
        <v>468</v>
      </c>
      <c r="G519" s="2">
        <f>E519*0.7+F519*0.3</f>
        <v>506.5</v>
      </c>
      <c r="H519" s="7">
        <v>518</v>
      </c>
    </row>
    <row r="520" spans="1:8" ht="12.45" customHeight="1" x14ac:dyDescent="0.3">
      <c r="A520" s="2" t="s">
        <v>544</v>
      </c>
      <c r="B520" s="2">
        <v>53</v>
      </c>
      <c r="C520" s="2">
        <v>3.63</v>
      </c>
      <c r="D520" s="2">
        <v>192.45</v>
      </c>
      <c r="E520" s="6">
        <f>_xlfn.RANK.EQ(C520,C:C,0)</f>
        <v>511</v>
      </c>
      <c r="F520" s="6">
        <f>_xlfn.RANK.EQ(D520,D:D,0)</f>
        <v>506</v>
      </c>
      <c r="G520" s="2">
        <f>E520*0.7+F520*0.3</f>
        <v>509.5</v>
      </c>
      <c r="H520" s="7">
        <v>519</v>
      </c>
    </row>
    <row r="521" spans="1:8" ht="12.45" customHeight="1" x14ac:dyDescent="0.3">
      <c r="A521" s="2" t="s">
        <v>545</v>
      </c>
      <c r="B521" s="2">
        <v>54.5</v>
      </c>
      <c r="C521" s="2">
        <v>3.61</v>
      </c>
      <c r="D521" s="2">
        <v>196.8</v>
      </c>
      <c r="E521" s="6">
        <f>_xlfn.RANK.EQ(C521,C:C,0)</f>
        <v>520</v>
      </c>
      <c r="F521" s="6">
        <f>_xlfn.RANK.EQ(D521,D:D,0)</f>
        <v>486</v>
      </c>
      <c r="G521" s="2">
        <f>E521*0.7+F521*0.3</f>
        <v>509.79999999999995</v>
      </c>
      <c r="H521" s="7">
        <v>520</v>
      </c>
    </row>
    <row r="522" spans="1:8" ht="12.45" customHeight="1" x14ac:dyDescent="0.3">
      <c r="A522" s="2" t="s">
        <v>546</v>
      </c>
      <c r="B522" s="2">
        <v>52.5</v>
      </c>
      <c r="C522" s="2">
        <v>3.64</v>
      </c>
      <c r="D522" s="2">
        <v>191.1</v>
      </c>
      <c r="E522" s="6">
        <f>_xlfn.RANK.EQ(C522,C:C,0)</f>
        <v>507</v>
      </c>
      <c r="F522" s="6">
        <f>_xlfn.RANK.EQ(D522,D:D,0)</f>
        <v>519</v>
      </c>
      <c r="G522" s="2">
        <f>E522*0.7+F522*0.3</f>
        <v>510.59999999999997</v>
      </c>
      <c r="H522" s="7">
        <v>521</v>
      </c>
    </row>
    <row r="523" spans="1:8" ht="12.45" customHeight="1" x14ac:dyDescent="0.3">
      <c r="A523" s="2" t="s">
        <v>547</v>
      </c>
      <c r="B523" s="2">
        <v>51</v>
      </c>
      <c r="C523" s="2">
        <v>3.66</v>
      </c>
      <c r="D523" s="2">
        <v>186.75</v>
      </c>
      <c r="E523" s="6">
        <f>_xlfn.RANK.EQ(C523,C:C,0)</f>
        <v>499</v>
      </c>
      <c r="F523" s="6">
        <f>_xlfn.RANK.EQ(D523,D:D,0)</f>
        <v>545</v>
      </c>
      <c r="G523" s="2">
        <f>E523*0.7+F523*0.3</f>
        <v>512.79999999999995</v>
      </c>
      <c r="H523" s="7">
        <v>522</v>
      </c>
    </row>
    <row r="524" spans="1:8" ht="12.45" customHeight="1" x14ac:dyDescent="0.3">
      <c r="A524" s="2" t="s">
        <v>548</v>
      </c>
      <c r="B524" s="2">
        <v>56.5</v>
      </c>
      <c r="C524" s="2">
        <v>3.54</v>
      </c>
      <c r="D524" s="2">
        <v>200.1</v>
      </c>
      <c r="E524" s="6">
        <f>_xlfn.RANK.EQ(C524,C:C,0)</f>
        <v>539</v>
      </c>
      <c r="F524" s="6">
        <f>_xlfn.RANK.EQ(D524,D:D,0)</f>
        <v>460</v>
      </c>
      <c r="G524" s="2">
        <f>E524*0.7+F524*0.3</f>
        <v>515.29999999999995</v>
      </c>
      <c r="H524" s="7">
        <v>523</v>
      </c>
    </row>
    <row r="525" spans="1:8" ht="12.45" customHeight="1" x14ac:dyDescent="0.3">
      <c r="A525" s="2" t="s">
        <v>549</v>
      </c>
      <c r="B525" s="2">
        <v>51</v>
      </c>
      <c r="C525" s="2">
        <v>3.65</v>
      </c>
      <c r="D525" s="2">
        <v>185.95</v>
      </c>
      <c r="E525" s="6">
        <f>_xlfn.RANK.EQ(C525,C:C,0)</f>
        <v>502</v>
      </c>
      <c r="F525" s="6">
        <f>_xlfn.RANK.EQ(D525,D:D,0)</f>
        <v>549</v>
      </c>
      <c r="G525" s="2">
        <f>E525*0.7+F525*0.3</f>
        <v>516.09999999999991</v>
      </c>
      <c r="H525" s="7">
        <v>524</v>
      </c>
    </row>
    <row r="526" spans="1:8" ht="12.45" customHeight="1" x14ac:dyDescent="0.3">
      <c r="A526" s="2" t="s">
        <v>550</v>
      </c>
      <c r="B526" s="2">
        <v>52</v>
      </c>
      <c r="C526" s="2">
        <v>3.63</v>
      </c>
      <c r="D526" s="2">
        <v>188.7</v>
      </c>
      <c r="E526" s="6">
        <f>_xlfn.RANK.EQ(C526,C:C,0)</f>
        <v>511</v>
      </c>
      <c r="F526" s="6">
        <f>_xlfn.RANK.EQ(D526,D:D,0)</f>
        <v>532</v>
      </c>
      <c r="G526" s="2">
        <f>E526*0.7+F526*0.3</f>
        <v>517.29999999999995</v>
      </c>
      <c r="H526" s="7">
        <v>525</v>
      </c>
    </row>
    <row r="527" spans="1:8" ht="12.45" customHeight="1" x14ac:dyDescent="0.3">
      <c r="A527" s="2" t="s">
        <v>551</v>
      </c>
      <c r="B527" s="2">
        <v>51</v>
      </c>
      <c r="C527" s="2">
        <v>3.64</v>
      </c>
      <c r="D527" s="2">
        <v>185.5</v>
      </c>
      <c r="E527" s="6">
        <f>_xlfn.RANK.EQ(C527,C:C,0)</f>
        <v>507</v>
      </c>
      <c r="F527" s="6">
        <f>_xlfn.RANK.EQ(D527,D:D,0)</f>
        <v>552</v>
      </c>
      <c r="G527" s="2">
        <f>E527*0.7+F527*0.3</f>
        <v>520.5</v>
      </c>
      <c r="H527" s="7">
        <v>526</v>
      </c>
    </row>
    <row r="528" spans="1:8" ht="12.45" customHeight="1" x14ac:dyDescent="0.3">
      <c r="A528" s="2" t="s">
        <v>552</v>
      </c>
      <c r="B528" s="2">
        <v>52.5</v>
      </c>
      <c r="C528" s="2">
        <v>3.61</v>
      </c>
      <c r="D528" s="2">
        <v>189.6</v>
      </c>
      <c r="E528" s="6">
        <f>_xlfn.RANK.EQ(C528,C:C,0)</f>
        <v>520</v>
      </c>
      <c r="F528" s="6">
        <f>_xlfn.RANK.EQ(D528,D:D,0)</f>
        <v>527</v>
      </c>
      <c r="G528" s="2">
        <f>E528*0.7+F528*0.3</f>
        <v>522.1</v>
      </c>
      <c r="H528" s="7">
        <v>527</v>
      </c>
    </row>
    <row r="529" spans="1:8" ht="12.45" customHeight="1" x14ac:dyDescent="0.3">
      <c r="A529" s="2" t="s">
        <v>553</v>
      </c>
      <c r="B529" s="2">
        <v>56.5</v>
      </c>
      <c r="C529" s="2">
        <v>3.52</v>
      </c>
      <c r="D529" s="2">
        <v>198.95</v>
      </c>
      <c r="E529" s="6">
        <f>_xlfn.RANK.EQ(C529,C:C,0)</f>
        <v>545</v>
      </c>
      <c r="F529" s="6">
        <f>_xlfn.RANK.EQ(D529,D:D,0)</f>
        <v>470</v>
      </c>
      <c r="G529" s="2">
        <f>E529*0.7+F529*0.3</f>
        <v>522.5</v>
      </c>
      <c r="H529" s="7">
        <v>528</v>
      </c>
    </row>
    <row r="530" spans="1:8" ht="12.45" customHeight="1" x14ac:dyDescent="0.3">
      <c r="A530" s="2" t="s">
        <v>554</v>
      </c>
      <c r="B530" s="2">
        <v>54</v>
      </c>
      <c r="C530" s="2">
        <v>3.57</v>
      </c>
      <c r="D530" s="2">
        <v>193</v>
      </c>
      <c r="E530" s="6">
        <f>_xlfn.RANK.EQ(C530,C:C,0)</f>
        <v>531</v>
      </c>
      <c r="F530" s="6">
        <f>_xlfn.RANK.EQ(D530,D:D,0)</f>
        <v>503</v>
      </c>
      <c r="G530" s="2">
        <f>E530*0.7+F530*0.3</f>
        <v>522.6</v>
      </c>
      <c r="H530" s="7">
        <v>529</v>
      </c>
    </row>
    <row r="531" spans="1:8" ht="12.45" customHeight="1" x14ac:dyDescent="0.3">
      <c r="A531" s="2" t="s">
        <v>555</v>
      </c>
      <c r="B531" s="2">
        <v>54.5</v>
      </c>
      <c r="C531" s="2">
        <v>3.56</v>
      </c>
      <c r="D531" s="2">
        <v>194.05</v>
      </c>
      <c r="E531" s="6">
        <f>_xlfn.RANK.EQ(C531,C:C,0)</f>
        <v>534</v>
      </c>
      <c r="F531" s="6">
        <f>_xlfn.RANK.EQ(D531,D:D,0)</f>
        <v>498</v>
      </c>
      <c r="G531" s="2">
        <f>E531*0.7+F531*0.3</f>
        <v>523.19999999999993</v>
      </c>
      <c r="H531" s="7">
        <v>530</v>
      </c>
    </row>
    <row r="532" spans="1:8" ht="12.45" customHeight="1" x14ac:dyDescent="0.3">
      <c r="A532" s="2" t="s">
        <v>556</v>
      </c>
      <c r="B532" s="2">
        <v>55</v>
      </c>
      <c r="C532" s="2">
        <v>3.55</v>
      </c>
      <c r="D532" s="2">
        <v>195.3</v>
      </c>
      <c r="E532" s="6">
        <f>_xlfn.RANK.EQ(C532,C:C,0)</f>
        <v>537</v>
      </c>
      <c r="F532" s="6">
        <f>_xlfn.RANK.EQ(D532,D:D,0)</f>
        <v>492</v>
      </c>
      <c r="G532" s="2">
        <f>E532*0.7+F532*0.3</f>
        <v>523.5</v>
      </c>
      <c r="H532" s="7">
        <v>531</v>
      </c>
    </row>
    <row r="533" spans="1:8" ht="12.45" customHeight="1" x14ac:dyDescent="0.3">
      <c r="A533" s="2" t="s">
        <v>557</v>
      </c>
      <c r="B533" s="2">
        <v>54</v>
      </c>
      <c r="C533" s="2">
        <v>3.56</v>
      </c>
      <c r="D533" s="2">
        <v>192.45</v>
      </c>
      <c r="E533" s="6">
        <f>_xlfn.RANK.EQ(C533,C:C,0)</f>
        <v>534</v>
      </c>
      <c r="F533" s="6">
        <f>_xlfn.RANK.EQ(D533,D:D,0)</f>
        <v>506</v>
      </c>
      <c r="G533" s="2">
        <f>E533*0.7+F533*0.3</f>
        <v>525.59999999999991</v>
      </c>
      <c r="H533" s="7">
        <v>532</v>
      </c>
    </row>
    <row r="534" spans="1:8" ht="12.45" customHeight="1" x14ac:dyDescent="0.3">
      <c r="A534" s="2" t="s">
        <v>558</v>
      </c>
      <c r="B534" s="2">
        <v>54</v>
      </c>
      <c r="C534" s="2">
        <v>3.56</v>
      </c>
      <c r="D534" s="2">
        <v>192.45</v>
      </c>
      <c r="E534" s="6">
        <f>_xlfn.RANK.EQ(C534,C:C,0)</f>
        <v>534</v>
      </c>
      <c r="F534" s="6">
        <f>_xlfn.RANK.EQ(D534,D:D,0)</f>
        <v>506</v>
      </c>
      <c r="G534" s="2">
        <f>E534*0.7+F534*0.3</f>
        <v>525.59999999999991</v>
      </c>
      <c r="H534" s="7">
        <v>532</v>
      </c>
    </row>
    <row r="535" spans="1:8" ht="12.45" customHeight="1" x14ac:dyDescent="0.3">
      <c r="A535" s="2" t="s">
        <v>559</v>
      </c>
      <c r="B535" s="2">
        <v>52.5</v>
      </c>
      <c r="C535" s="2">
        <v>3.59</v>
      </c>
      <c r="D535" s="2">
        <v>188.7</v>
      </c>
      <c r="E535" s="6">
        <f>_xlfn.RANK.EQ(C535,C:C,0)</f>
        <v>523</v>
      </c>
      <c r="F535" s="6">
        <f>_xlfn.RANK.EQ(D535,D:D,0)</f>
        <v>532</v>
      </c>
      <c r="G535" s="2">
        <f>E535*0.7+F535*0.3</f>
        <v>525.69999999999993</v>
      </c>
      <c r="H535" s="7">
        <v>534</v>
      </c>
    </row>
    <row r="536" spans="1:8" ht="12.45" customHeight="1" x14ac:dyDescent="0.3">
      <c r="A536" s="2" t="s">
        <v>560</v>
      </c>
      <c r="B536" s="2">
        <v>52.5</v>
      </c>
      <c r="C536" s="2">
        <v>3.59</v>
      </c>
      <c r="D536" s="2">
        <v>188.7</v>
      </c>
      <c r="E536" s="6">
        <f>_xlfn.RANK.EQ(C536,C:C,0)</f>
        <v>523</v>
      </c>
      <c r="F536" s="6">
        <f>_xlfn.RANK.EQ(D536,D:D,0)</f>
        <v>532</v>
      </c>
      <c r="G536" s="2">
        <f>E536*0.7+F536*0.3</f>
        <v>525.69999999999993</v>
      </c>
      <c r="H536" s="7">
        <v>534</v>
      </c>
    </row>
    <row r="537" spans="1:8" ht="12.45" customHeight="1" x14ac:dyDescent="0.3">
      <c r="A537" s="2" t="s">
        <v>561</v>
      </c>
      <c r="B537" s="2">
        <v>56</v>
      </c>
      <c r="C537" s="2">
        <v>3.52</v>
      </c>
      <c r="D537" s="2">
        <v>196.95</v>
      </c>
      <c r="E537" s="6">
        <f>_xlfn.RANK.EQ(C537,C:C,0)</f>
        <v>545</v>
      </c>
      <c r="F537" s="6">
        <f>_xlfn.RANK.EQ(D537,D:D,0)</f>
        <v>481</v>
      </c>
      <c r="G537" s="2">
        <f>E537*0.7+F537*0.3</f>
        <v>525.79999999999995</v>
      </c>
      <c r="H537" s="7">
        <v>536</v>
      </c>
    </row>
    <row r="538" spans="1:8" ht="12.45" customHeight="1" x14ac:dyDescent="0.3">
      <c r="A538" s="2" t="s">
        <v>562</v>
      </c>
      <c r="B538" s="2">
        <v>49.5</v>
      </c>
      <c r="C538" s="2">
        <v>3.64</v>
      </c>
      <c r="D538" s="2">
        <v>180.35</v>
      </c>
      <c r="E538" s="6">
        <f>_xlfn.RANK.EQ(C538,C:C,0)</f>
        <v>507</v>
      </c>
      <c r="F538" s="6">
        <f>_xlfn.RANK.EQ(D538,D:D,0)</f>
        <v>576</v>
      </c>
      <c r="G538" s="2">
        <f>E538*0.7+F538*0.3</f>
        <v>527.69999999999993</v>
      </c>
      <c r="H538" s="7">
        <v>537</v>
      </c>
    </row>
    <row r="539" spans="1:8" ht="12.45" customHeight="1" x14ac:dyDescent="0.3">
      <c r="A539" s="2" t="s">
        <v>563</v>
      </c>
      <c r="B539" s="2">
        <v>52.5</v>
      </c>
      <c r="C539" s="2">
        <v>3.58</v>
      </c>
      <c r="D539" s="2">
        <v>187.95</v>
      </c>
      <c r="E539" s="6">
        <f>_xlfn.RANK.EQ(C539,C:C,0)</f>
        <v>528</v>
      </c>
      <c r="F539" s="6">
        <f>_xlfn.RANK.EQ(D539,D:D,0)</f>
        <v>537</v>
      </c>
      <c r="G539" s="2">
        <f>E539*0.7+F539*0.3</f>
        <v>530.69999999999993</v>
      </c>
      <c r="H539" s="7">
        <v>538</v>
      </c>
    </row>
    <row r="540" spans="1:8" ht="12.45" customHeight="1" x14ac:dyDescent="0.3">
      <c r="A540" s="2" t="s">
        <v>564</v>
      </c>
      <c r="B540" s="2">
        <v>54.5</v>
      </c>
      <c r="C540" s="2">
        <v>3.51</v>
      </c>
      <c r="D540" s="2">
        <v>194.55</v>
      </c>
      <c r="E540" s="6">
        <f>_xlfn.RANK.EQ(C540,C:C,0)</f>
        <v>548</v>
      </c>
      <c r="F540" s="6">
        <f>_xlfn.RANK.EQ(D540,D:D,0)</f>
        <v>495</v>
      </c>
      <c r="G540" s="2">
        <f>E540*0.7+F540*0.3</f>
        <v>532.09999999999991</v>
      </c>
      <c r="H540" s="7">
        <v>539</v>
      </c>
    </row>
    <row r="541" spans="1:8" ht="12.45" customHeight="1" x14ac:dyDescent="0.3">
      <c r="A541" s="2" t="s">
        <v>565</v>
      </c>
      <c r="B541" s="2">
        <v>51.5</v>
      </c>
      <c r="C541" s="2">
        <v>3.59</v>
      </c>
      <c r="D541" s="2">
        <v>184.95</v>
      </c>
      <c r="E541" s="6">
        <f>_xlfn.RANK.EQ(C541,C:C,0)</f>
        <v>523</v>
      </c>
      <c r="F541" s="6">
        <f>_xlfn.RANK.EQ(D541,D:D,0)</f>
        <v>554</v>
      </c>
      <c r="G541" s="2">
        <f>E541*0.7+F541*0.3</f>
        <v>532.29999999999995</v>
      </c>
      <c r="H541" s="7">
        <v>540</v>
      </c>
    </row>
    <row r="542" spans="1:8" ht="12.45" customHeight="1" x14ac:dyDescent="0.3">
      <c r="A542" s="2" t="s">
        <v>566</v>
      </c>
      <c r="B542" s="2">
        <v>51</v>
      </c>
      <c r="C542" s="2">
        <v>3.59</v>
      </c>
      <c r="D542" s="2">
        <v>183.3</v>
      </c>
      <c r="E542" s="6">
        <f>_xlfn.RANK.EQ(C542,C:C,0)</f>
        <v>523</v>
      </c>
      <c r="F542" s="6">
        <f>_xlfn.RANK.EQ(D542,D:D,0)</f>
        <v>563</v>
      </c>
      <c r="G542" s="2">
        <f>E542*0.7+F542*0.3</f>
        <v>535</v>
      </c>
      <c r="H542" s="7">
        <v>541</v>
      </c>
    </row>
    <row r="543" spans="1:8" ht="12.45" customHeight="1" x14ac:dyDescent="0.3">
      <c r="A543" s="2" t="s">
        <v>567</v>
      </c>
      <c r="B543" s="2">
        <v>56</v>
      </c>
      <c r="C543" s="2">
        <v>3.48</v>
      </c>
      <c r="D543" s="2">
        <v>195</v>
      </c>
      <c r="E543" s="6">
        <f>_xlfn.RANK.EQ(C543,C:C,0)</f>
        <v>556</v>
      </c>
      <c r="F543" s="6">
        <f>_xlfn.RANK.EQ(D543,D:D,0)</f>
        <v>494</v>
      </c>
      <c r="G543" s="2">
        <f>E543*0.7+F543*0.3</f>
        <v>537.4</v>
      </c>
      <c r="H543" s="7">
        <v>542</v>
      </c>
    </row>
    <row r="544" spans="1:8" ht="12.45" customHeight="1" x14ac:dyDescent="0.3">
      <c r="A544" s="2" t="s">
        <v>568</v>
      </c>
      <c r="B544" s="2">
        <v>56.5</v>
      </c>
      <c r="C544" s="2">
        <v>3.46</v>
      </c>
      <c r="D544" s="2">
        <v>195.75</v>
      </c>
      <c r="E544" s="6">
        <f>_xlfn.RANK.EQ(C544,C:C,0)</f>
        <v>558</v>
      </c>
      <c r="F544" s="6">
        <f>_xlfn.RANK.EQ(D544,D:D,0)</f>
        <v>490</v>
      </c>
      <c r="G544" s="2">
        <f>E544*0.7+F544*0.3</f>
        <v>537.59999999999991</v>
      </c>
      <c r="H544" s="7">
        <v>543</v>
      </c>
    </row>
    <row r="545" spans="1:8" ht="12.45" customHeight="1" x14ac:dyDescent="0.3">
      <c r="A545" s="2" t="s">
        <v>569</v>
      </c>
      <c r="B545" s="2">
        <v>51</v>
      </c>
      <c r="C545" s="2">
        <v>3.57</v>
      </c>
      <c r="D545" s="2">
        <v>181.95</v>
      </c>
      <c r="E545" s="6">
        <f>_xlfn.RANK.EQ(C545,C:C,0)</f>
        <v>531</v>
      </c>
      <c r="F545" s="6">
        <f>_xlfn.RANK.EQ(D545,D:D,0)</f>
        <v>568</v>
      </c>
      <c r="G545" s="2">
        <f>E545*0.7+F545*0.3</f>
        <v>542.1</v>
      </c>
      <c r="H545" s="7">
        <v>544</v>
      </c>
    </row>
    <row r="546" spans="1:8" ht="12.45" customHeight="1" x14ac:dyDescent="0.3">
      <c r="A546" s="2" t="s">
        <v>570</v>
      </c>
      <c r="B546" s="2">
        <v>53</v>
      </c>
      <c r="C546" s="2">
        <v>3.53</v>
      </c>
      <c r="D546" s="2">
        <v>187.05</v>
      </c>
      <c r="E546" s="6">
        <f>_xlfn.RANK.EQ(C546,C:C,0)</f>
        <v>544</v>
      </c>
      <c r="F546" s="6">
        <f>_xlfn.RANK.EQ(D546,D:D,0)</f>
        <v>542</v>
      </c>
      <c r="G546" s="2">
        <f>E546*0.7+F546*0.3</f>
        <v>543.4</v>
      </c>
      <c r="H546" s="7">
        <v>545</v>
      </c>
    </row>
    <row r="547" spans="1:8" ht="12.45" customHeight="1" x14ac:dyDescent="0.3">
      <c r="A547" s="2" t="s">
        <v>571</v>
      </c>
      <c r="B547" s="2">
        <v>52</v>
      </c>
      <c r="C547" s="2">
        <v>3.54</v>
      </c>
      <c r="D547" s="2">
        <v>184.2</v>
      </c>
      <c r="E547" s="6">
        <f>_xlfn.RANK.EQ(C547,C:C,0)</f>
        <v>539</v>
      </c>
      <c r="F547" s="6">
        <f>_xlfn.RANK.EQ(D547,D:D,0)</f>
        <v>559</v>
      </c>
      <c r="G547" s="2">
        <f>E547*0.7+F547*0.3</f>
        <v>545</v>
      </c>
      <c r="H547" s="7">
        <v>546</v>
      </c>
    </row>
    <row r="548" spans="1:8" ht="12.45" customHeight="1" x14ac:dyDescent="0.3">
      <c r="A548" s="2" t="s">
        <v>572</v>
      </c>
      <c r="B548" s="2">
        <v>53</v>
      </c>
      <c r="C548" s="2">
        <v>3.52</v>
      </c>
      <c r="D548" s="2">
        <v>186.3</v>
      </c>
      <c r="E548" s="6">
        <f>_xlfn.RANK.EQ(C548,C:C,0)</f>
        <v>545</v>
      </c>
      <c r="F548" s="6">
        <f>_xlfn.RANK.EQ(D548,D:D,0)</f>
        <v>548</v>
      </c>
      <c r="G548" s="2">
        <f>E548*0.7+F548*0.3</f>
        <v>545.9</v>
      </c>
      <c r="H548" s="7">
        <v>547</v>
      </c>
    </row>
    <row r="549" spans="1:8" ht="12.45" customHeight="1" x14ac:dyDescent="0.3">
      <c r="A549" s="2" t="s">
        <v>573</v>
      </c>
      <c r="B549" s="2">
        <v>47</v>
      </c>
      <c r="C549" s="2">
        <v>3.62</v>
      </c>
      <c r="D549" s="2">
        <v>170.25</v>
      </c>
      <c r="E549" s="6">
        <f>_xlfn.RANK.EQ(C549,C:C,0)</f>
        <v>517</v>
      </c>
      <c r="F549" s="6">
        <f>_xlfn.RANK.EQ(D549,D:D,0)</f>
        <v>615</v>
      </c>
      <c r="G549" s="2">
        <f>E549*0.7+F549*0.3</f>
        <v>546.4</v>
      </c>
      <c r="H549" s="7">
        <v>548</v>
      </c>
    </row>
    <row r="550" spans="1:8" ht="12.45" customHeight="1" x14ac:dyDescent="0.3">
      <c r="A550" s="2" t="s">
        <v>574</v>
      </c>
      <c r="B550" s="2">
        <v>51</v>
      </c>
      <c r="C550" s="2">
        <v>3.55</v>
      </c>
      <c r="D550" s="2">
        <v>181.2</v>
      </c>
      <c r="E550" s="6">
        <f>_xlfn.RANK.EQ(C550,C:C,0)</f>
        <v>537</v>
      </c>
      <c r="F550" s="6">
        <f>_xlfn.RANK.EQ(D550,D:D,0)</f>
        <v>570</v>
      </c>
      <c r="G550" s="2">
        <f>E550*0.7+F550*0.3</f>
        <v>546.9</v>
      </c>
      <c r="H550" s="7">
        <v>549</v>
      </c>
    </row>
    <row r="551" spans="1:8" ht="12.45" customHeight="1" x14ac:dyDescent="0.3">
      <c r="A551" s="2" t="s">
        <v>575</v>
      </c>
      <c r="B551" s="2">
        <v>51.5</v>
      </c>
      <c r="C551" s="2">
        <v>3.54</v>
      </c>
      <c r="D551" s="2">
        <v>182.45</v>
      </c>
      <c r="E551" s="6">
        <f>_xlfn.RANK.EQ(C551,C:C,0)</f>
        <v>539</v>
      </c>
      <c r="F551" s="6">
        <f>_xlfn.RANK.EQ(D551,D:D,0)</f>
        <v>566</v>
      </c>
      <c r="G551" s="2">
        <f>E551*0.7+F551*0.3</f>
        <v>547.09999999999991</v>
      </c>
      <c r="H551" s="7">
        <v>550</v>
      </c>
    </row>
    <row r="552" spans="1:8" ht="12.45" customHeight="1" x14ac:dyDescent="0.3">
      <c r="A552" s="2" t="s">
        <v>576</v>
      </c>
      <c r="B552" s="2">
        <v>53.5</v>
      </c>
      <c r="C552" s="2">
        <v>3.5</v>
      </c>
      <c r="D552" s="2">
        <v>187.35</v>
      </c>
      <c r="E552" s="6">
        <f>_xlfn.RANK.EQ(C552,C:C,0)</f>
        <v>551</v>
      </c>
      <c r="F552" s="6">
        <f>_xlfn.RANK.EQ(D552,D:D,0)</f>
        <v>540</v>
      </c>
      <c r="G552" s="2">
        <f>E552*0.7+F552*0.3</f>
        <v>547.70000000000005</v>
      </c>
      <c r="H552" s="7">
        <v>551</v>
      </c>
    </row>
    <row r="553" spans="1:8" ht="12.45" customHeight="1" x14ac:dyDescent="0.3">
      <c r="A553" s="2" t="s">
        <v>577</v>
      </c>
      <c r="B553" s="2">
        <v>55</v>
      </c>
      <c r="C553" s="2">
        <v>3.46</v>
      </c>
      <c r="D553" s="2">
        <v>190.55</v>
      </c>
      <c r="E553" s="6">
        <f>_xlfn.RANK.EQ(C553,C:C,0)</f>
        <v>558</v>
      </c>
      <c r="F553" s="6">
        <f>_xlfn.RANK.EQ(D553,D:D,0)</f>
        <v>524</v>
      </c>
      <c r="G553" s="2">
        <f>E553*0.7+F553*0.3</f>
        <v>547.79999999999995</v>
      </c>
      <c r="H553" s="7">
        <v>552</v>
      </c>
    </row>
    <row r="554" spans="1:8" ht="12.45" customHeight="1" x14ac:dyDescent="0.3">
      <c r="A554" s="2" t="s">
        <v>578</v>
      </c>
      <c r="B554" s="2">
        <v>55</v>
      </c>
      <c r="C554" s="2">
        <v>3.46</v>
      </c>
      <c r="D554" s="2">
        <v>190.05</v>
      </c>
      <c r="E554" s="6">
        <f>_xlfn.RANK.EQ(C554,C:C,0)</f>
        <v>558</v>
      </c>
      <c r="F554" s="6">
        <f>_xlfn.RANK.EQ(D554,D:D,0)</f>
        <v>525</v>
      </c>
      <c r="G554" s="2">
        <f>E554*0.7+F554*0.3</f>
        <v>548.09999999999991</v>
      </c>
      <c r="H554" s="7">
        <v>553</v>
      </c>
    </row>
    <row r="555" spans="1:8" ht="12.45" customHeight="1" x14ac:dyDescent="0.3">
      <c r="A555" s="2" t="s">
        <v>579</v>
      </c>
      <c r="B555" s="2">
        <v>55.5</v>
      </c>
      <c r="C555" s="2">
        <v>3.45</v>
      </c>
      <c r="D555" s="2">
        <v>191.7</v>
      </c>
      <c r="E555" s="6">
        <f>_xlfn.RANK.EQ(C555,C:C,0)</f>
        <v>564</v>
      </c>
      <c r="F555" s="6">
        <f>_xlfn.RANK.EQ(D555,D:D,0)</f>
        <v>513</v>
      </c>
      <c r="G555" s="2">
        <f>E555*0.7+F555*0.3</f>
        <v>548.69999999999993</v>
      </c>
      <c r="H555" s="7">
        <v>554</v>
      </c>
    </row>
    <row r="556" spans="1:8" ht="12.45" customHeight="1" x14ac:dyDescent="0.3">
      <c r="A556" s="2" t="s">
        <v>580</v>
      </c>
      <c r="B556" s="2">
        <v>53</v>
      </c>
      <c r="C556" s="2">
        <v>3.5</v>
      </c>
      <c r="D556" s="2">
        <v>185.25</v>
      </c>
      <c r="E556" s="6">
        <f>_xlfn.RANK.EQ(C556,C:C,0)</f>
        <v>551</v>
      </c>
      <c r="F556" s="6">
        <f>_xlfn.RANK.EQ(D556,D:D,0)</f>
        <v>553</v>
      </c>
      <c r="G556" s="2">
        <f>E556*0.7+F556*0.3</f>
        <v>551.6</v>
      </c>
      <c r="H556" s="7">
        <v>555</v>
      </c>
    </row>
    <row r="557" spans="1:8" ht="12.45" customHeight="1" x14ac:dyDescent="0.3">
      <c r="A557" s="2" t="s">
        <v>581</v>
      </c>
      <c r="B557" s="2">
        <v>51.5</v>
      </c>
      <c r="C557" s="2">
        <v>3.44</v>
      </c>
      <c r="D557" s="2">
        <v>190.95</v>
      </c>
      <c r="E557" s="6">
        <f>_xlfn.RANK.EQ(C557,C:C,0)</f>
        <v>567</v>
      </c>
      <c r="F557" s="6">
        <f>_xlfn.RANK.EQ(D557,D:D,0)</f>
        <v>520</v>
      </c>
      <c r="G557" s="2">
        <f>E557*0.7+F557*0.3</f>
        <v>552.9</v>
      </c>
      <c r="H557" s="7">
        <v>556</v>
      </c>
    </row>
    <row r="558" spans="1:8" ht="12.45" customHeight="1" x14ac:dyDescent="0.3">
      <c r="A558" s="2" t="s">
        <v>582</v>
      </c>
      <c r="B558" s="2">
        <v>56</v>
      </c>
      <c r="C558" s="2">
        <v>3.42</v>
      </c>
      <c r="D558" s="2">
        <v>191.25</v>
      </c>
      <c r="E558" s="6">
        <f>_xlfn.RANK.EQ(C558,C:C,0)</f>
        <v>570</v>
      </c>
      <c r="F558" s="6">
        <f>_xlfn.RANK.EQ(D558,D:D,0)</f>
        <v>517</v>
      </c>
      <c r="G558" s="2">
        <f>E558*0.7+F558*0.3</f>
        <v>554.1</v>
      </c>
      <c r="H558" s="7">
        <v>557</v>
      </c>
    </row>
    <row r="559" spans="1:8" ht="12.45" customHeight="1" x14ac:dyDescent="0.3">
      <c r="A559" s="2" t="s">
        <v>583</v>
      </c>
      <c r="B559" s="2">
        <v>54</v>
      </c>
      <c r="C559" s="2">
        <v>3.46</v>
      </c>
      <c r="D559" s="2">
        <v>186.6</v>
      </c>
      <c r="E559" s="6">
        <f>_xlfn.RANK.EQ(C559,C:C,0)</f>
        <v>558</v>
      </c>
      <c r="F559" s="6">
        <f>_xlfn.RANK.EQ(D559,D:D,0)</f>
        <v>546</v>
      </c>
      <c r="G559" s="2">
        <f>E559*0.7+F559*0.3</f>
        <v>554.4</v>
      </c>
      <c r="H559" s="7">
        <v>558</v>
      </c>
    </row>
    <row r="560" spans="1:8" ht="12.45" customHeight="1" x14ac:dyDescent="0.3">
      <c r="A560" s="2" t="s">
        <v>584</v>
      </c>
      <c r="B560" s="2">
        <v>47.5</v>
      </c>
      <c r="C560" s="2">
        <v>3.58</v>
      </c>
      <c r="D560" s="2">
        <v>170.1</v>
      </c>
      <c r="E560" s="6">
        <f>_xlfn.RANK.EQ(C560,C:C,0)</f>
        <v>528</v>
      </c>
      <c r="F560" s="6">
        <f>_xlfn.RANK.EQ(D560,D:D,0)</f>
        <v>617</v>
      </c>
      <c r="G560" s="2">
        <f>E560*0.7+F560*0.3</f>
        <v>554.69999999999993</v>
      </c>
      <c r="H560" s="7">
        <v>559</v>
      </c>
    </row>
    <row r="561" spans="1:8" ht="12.45" customHeight="1" x14ac:dyDescent="0.3">
      <c r="A561" s="2" t="s">
        <v>585</v>
      </c>
      <c r="B561" s="2">
        <v>53</v>
      </c>
      <c r="C561" s="2">
        <v>3.47</v>
      </c>
      <c r="D561" s="2">
        <v>184</v>
      </c>
      <c r="E561" s="6">
        <f>_xlfn.RANK.EQ(C561,C:C,0)</f>
        <v>557</v>
      </c>
      <c r="F561" s="6">
        <f>_xlfn.RANK.EQ(D561,D:D,0)</f>
        <v>560</v>
      </c>
      <c r="G561" s="2">
        <f>E561*0.7+F561*0.3</f>
        <v>557.9</v>
      </c>
      <c r="H561" s="7">
        <v>560</v>
      </c>
    </row>
    <row r="562" spans="1:8" ht="12.45" customHeight="1" x14ac:dyDescent="0.3">
      <c r="A562" s="2" t="s">
        <v>586</v>
      </c>
      <c r="B562" s="2">
        <v>54.5</v>
      </c>
      <c r="C562" s="2">
        <v>3.44</v>
      </c>
      <c r="D562" s="2">
        <v>187.4</v>
      </c>
      <c r="E562" s="6">
        <f>_xlfn.RANK.EQ(C562,C:C,0)</f>
        <v>567</v>
      </c>
      <c r="F562" s="6">
        <f>_xlfn.RANK.EQ(D562,D:D,0)</f>
        <v>539</v>
      </c>
      <c r="G562" s="2">
        <f>E562*0.7+F562*0.3</f>
        <v>558.59999999999991</v>
      </c>
      <c r="H562" s="7">
        <v>561</v>
      </c>
    </row>
    <row r="563" spans="1:8" ht="12.45" customHeight="1" x14ac:dyDescent="0.3">
      <c r="A563" s="2" t="s">
        <v>587</v>
      </c>
      <c r="B563" s="2">
        <v>53</v>
      </c>
      <c r="C563" s="2">
        <v>3.46</v>
      </c>
      <c r="D563" s="2">
        <v>183.15</v>
      </c>
      <c r="E563" s="6">
        <f>_xlfn.RANK.EQ(C563,C:C,0)</f>
        <v>558</v>
      </c>
      <c r="F563" s="6">
        <f>_xlfn.RANK.EQ(D563,D:D,0)</f>
        <v>564</v>
      </c>
      <c r="G563" s="2">
        <f>E563*0.7+F563*0.3</f>
        <v>559.79999999999995</v>
      </c>
      <c r="H563" s="7">
        <v>562</v>
      </c>
    </row>
    <row r="564" spans="1:8" ht="12.45" customHeight="1" x14ac:dyDescent="0.3">
      <c r="A564" s="2" t="s">
        <v>588</v>
      </c>
      <c r="B564" s="2">
        <v>55</v>
      </c>
      <c r="C564" s="2">
        <v>3.42</v>
      </c>
      <c r="D564" s="2">
        <v>187.85</v>
      </c>
      <c r="E564" s="6">
        <f>_xlfn.RANK.EQ(C564,C:C,0)</f>
        <v>570</v>
      </c>
      <c r="F564" s="6">
        <f>_xlfn.RANK.EQ(D564,D:D,0)</f>
        <v>538</v>
      </c>
      <c r="G564" s="2">
        <f>E564*0.7+F564*0.3</f>
        <v>560.4</v>
      </c>
      <c r="H564" s="7">
        <v>563</v>
      </c>
    </row>
    <row r="565" spans="1:8" ht="12.45" customHeight="1" x14ac:dyDescent="0.3">
      <c r="A565" s="2" t="s">
        <v>589</v>
      </c>
      <c r="B565" s="2">
        <v>56</v>
      </c>
      <c r="C565" s="2">
        <v>3.39</v>
      </c>
      <c r="D565" s="2">
        <v>189.6</v>
      </c>
      <c r="E565" s="6">
        <f>_xlfn.RANK.EQ(C565,C:C,0)</f>
        <v>575</v>
      </c>
      <c r="F565" s="6">
        <f>_xlfn.RANK.EQ(D565,D:D,0)</f>
        <v>527</v>
      </c>
      <c r="G565" s="2">
        <f>E565*0.7+F565*0.3</f>
        <v>560.6</v>
      </c>
      <c r="H565" s="7">
        <v>564</v>
      </c>
    </row>
    <row r="566" spans="1:8" ht="12.45" customHeight="1" x14ac:dyDescent="0.3">
      <c r="A566" s="2" t="s">
        <v>590</v>
      </c>
      <c r="B566" s="2">
        <v>56.5</v>
      </c>
      <c r="C566" s="2">
        <v>3.38</v>
      </c>
      <c r="D566" s="2">
        <v>191.25</v>
      </c>
      <c r="E566" s="6">
        <f>_xlfn.RANK.EQ(C566,C:C,0)</f>
        <v>580</v>
      </c>
      <c r="F566" s="6">
        <f>_xlfn.RANK.EQ(D566,D:D,0)</f>
        <v>517</v>
      </c>
      <c r="G566" s="2">
        <f>E566*0.7+F566*0.3</f>
        <v>561.1</v>
      </c>
      <c r="H566" s="7">
        <v>565</v>
      </c>
    </row>
    <row r="567" spans="1:8" ht="12.45" customHeight="1" x14ac:dyDescent="0.3">
      <c r="A567" s="2" t="s">
        <v>591</v>
      </c>
      <c r="B567" s="2">
        <v>53.5</v>
      </c>
      <c r="C567" s="2">
        <v>3.45</v>
      </c>
      <c r="D567" s="2">
        <v>184.35</v>
      </c>
      <c r="E567" s="6">
        <f>_xlfn.RANK.EQ(C567,C:C,0)</f>
        <v>564</v>
      </c>
      <c r="F567" s="6">
        <f>_xlfn.RANK.EQ(D567,D:D,0)</f>
        <v>557</v>
      </c>
      <c r="G567" s="2">
        <f>E567*0.7+F567*0.3</f>
        <v>561.9</v>
      </c>
      <c r="H567" s="7">
        <v>566</v>
      </c>
    </row>
    <row r="568" spans="1:8" ht="12.45" customHeight="1" x14ac:dyDescent="0.3">
      <c r="A568" s="2" t="s">
        <v>592</v>
      </c>
      <c r="B568" s="2">
        <v>50.5</v>
      </c>
      <c r="C568" s="2">
        <v>3.5</v>
      </c>
      <c r="D568" s="2">
        <v>177</v>
      </c>
      <c r="E568" s="6">
        <f>_xlfn.RANK.EQ(C568,C:C,0)</f>
        <v>551</v>
      </c>
      <c r="F568" s="6">
        <f>_xlfn.RANK.EQ(D568,D:D,0)</f>
        <v>591</v>
      </c>
      <c r="G568" s="2">
        <f>E568*0.7+F568*0.3</f>
        <v>563</v>
      </c>
      <c r="H568" s="7">
        <v>567</v>
      </c>
    </row>
    <row r="569" spans="1:8" ht="12.45" customHeight="1" x14ac:dyDescent="0.3">
      <c r="A569" s="2" t="s">
        <v>593</v>
      </c>
      <c r="B569" s="2">
        <v>50.5</v>
      </c>
      <c r="C569" s="2">
        <v>3.5</v>
      </c>
      <c r="D569" s="2">
        <v>176.9</v>
      </c>
      <c r="E569" s="6">
        <f>_xlfn.RANK.EQ(C569,C:C,0)</f>
        <v>551</v>
      </c>
      <c r="F569" s="6">
        <f>_xlfn.RANK.EQ(D569,D:D,0)</f>
        <v>592</v>
      </c>
      <c r="G569" s="2">
        <f>E569*0.7+F569*0.3</f>
        <v>563.29999999999995</v>
      </c>
      <c r="H569" s="7">
        <v>568</v>
      </c>
    </row>
    <row r="570" spans="1:8" ht="12.45" customHeight="1" x14ac:dyDescent="0.3">
      <c r="A570" s="2" t="s">
        <v>594</v>
      </c>
      <c r="B570" s="2">
        <v>54.5</v>
      </c>
      <c r="C570" s="2">
        <v>3.41</v>
      </c>
      <c r="D570" s="2">
        <v>185.85</v>
      </c>
      <c r="E570" s="6">
        <f>_xlfn.RANK.EQ(C570,C:C,0)</f>
        <v>573</v>
      </c>
      <c r="F570" s="6">
        <f>_xlfn.RANK.EQ(D570,D:D,0)</f>
        <v>550</v>
      </c>
      <c r="G570" s="2">
        <f>E570*0.7+F570*0.3</f>
        <v>566.09999999999991</v>
      </c>
      <c r="H570" s="7">
        <v>569</v>
      </c>
    </row>
    <row r="571" spans="1:8" ht="12.45" customHeight="1" x14ac:dyDescent="0.3">
      <c r="A571" s="2" t="s">
        <v>595</v>
      </c>
      <c r="B571" s="2">
        <v>56.5</v>
      </c>
      <c r="C571" s="2">
        <v>3.31</v>
      </c>
      <c r="D571" s="2">
        <v>192</v>
      </c>
      <c r="E571" s="6">
        <f>_xlfn.RANK.EQ(C571,C:C,0)</f>
        <v>591</v>
      </c>
      <c r="F571" s="6">
        <f>_xlfn.RANK.EQ(D571,D:D,0)</f>
        <v>510</v>
      </c>
      <c r="G571" s="2">
        <f>E571*0.7+F571*0.3</f>
        <v>566.70000000000005</v>
      </c>
      <c r="H571" s="7">
        <v>570</v>
      </c>
    </row>
    <row r="572" spans="1:8" ht="12.45" customHeight="1" x14ac:dyDescent="0.3">
      <c r="A572" s="2" t="s">
        <v>597</v>
      </c>
      <c r="B572" s="2">
        <v>47.5</v>
      </c>
      <c r="C572" s="2">
        <v>3.51</v>
      </c>
      <c r="D572" s="2">
        <v>170.25</v>
      </c>
      <c r="E572" s="6">
        <f>_xlfn.RANK.EQ(C572,C:C,0)</f>
        <v>548</v>
      </c>
      <c r="F572" s="6">
        <f>_xlfn.RANK.EQ(D572,D:D,0)</f>
        <v>615</v>
      </c>
      <c r="G572" s="2">
        <f>E572*0.7+F572*0.3</f>
        <v>568.09999999999991</v>
      </c>
      <c r="H572" s="7">
        <v>571</v>
      </c>
    </row>
    <row r="573" spans="1:8" ht="12.45" customHeight="1" x14ac:dyDescent="0.3">
      <c r="A573" s="2" t="s">
        <v>596</v>
      </c>
      <c r="B573" s="2">
        <v>49</v>
      </c>
      <c r="C573" s="2">
        <v>3.5</v>
      </c>
      <c r="D573" s="2">
        <v>171.3</v>
      </c>
      <c r="E573" s="6">
        <f>_xlfn.RANK.EQ(C573,C:C,0)</f>
        <v>551</v>
      </c>
      <c r="F573" s="6">
        <f>_xlfn.RANK.EQ(D573,D:D,0)</f>
        <v>608</v>
      </c>
      <c r="G573" s="2">
        <f>E573*0.7+F573*0.3</f>
        <v>568.1</v>
      </c>
      <c r="H573" s="7">
        <v>571</v>
      </c>
    </row>
    <row r="574" spans="1:8" ht="12.45" customHeight="1" x14ac:dyDescent="0.3">
      <c r="A574" s="2" t="s">
        <v>598</v>
      </c>
      <c r="B574" s="2">
        <v>54.5</v>
      </c>
      <c r="C574" s="2">
        <v>3.39</v>
      </c>
      <c r="D574" s="2">
        <v>184.65</v>
      </c>
      <c r="E574" s="6">
        <f>_xlfn.RANK.EQ(C574,C:C,0)</f>
        <v>575</v>
      </c>
      <c r="F574" s="6">
        <f>_xlfn.RANK.EQ(D574,D:D,0)</f>
        <v>555</v>
      </c>
      <c r="G574" s="2">
        <f>E574*0.7+F574*0.3</f>
        <v>569</v>
      </c>
      <c r="H574" s="7">
        <v>573</v>
      </c>
    </row>
    <row r="575" spans="1:8" ht="12.45" customHeight="1" x14ac:dyDescent="0.3">
      <c r="A575" s="2" t="s">
        <v>599</v>
      </c>
      <c r="B575" s="2">
        <v>50.5</v>
      </c>
      <c r="C575" s="2">
        <v>3.39</v>
      </c>
      <c r="D575" s="2">
        <v>184.5</v>
      </c>
      <c r="E575" s="6">
        <f>_xlfn.RANK.EQ(C575,C:C,0)</f>
        <v>575</v>
      </c>
      <c r="F575" s="6">
        <f>_xlfn.RANK.EQ(D575,D:D,0)</f>
        <v>556</v>
      </c>
      <c r="G575" s="2">
        <f>E575*0.7+F575*0.3</f>
        <v>569.29999999999995</v>
      </c>
      <c r="H575" s="7">
        <v>574</v>
      </c>
    </row>
    <row r="576" spans="1:8" ht="12.45" customHeight="1" x14ac:dyDescent="0.3">
      <c r="A576" s="2" t="s">
        <v>600</v>
      </c>
      <c r="B576" s="2">
        <v>50.5</v>
      </c>
      <c r="C576" s="2">
        <v>3.42</v>
      </c>
      <c r="D576" s="2">
        <v>181.5</v>
      </c>
      <c r="E576" s="6">
        <f>_xlfn.RANK.EQ(C576,C:C,0)</f>
        <v>570</v>
      </c>
      <c r="F576" s="6">
        <f>_xlfn.RANK.EQ(D576,D:D,0)</f>
        <v>569</v>
      </c>
      <c r="G576" s="2">
        <f>E576*0.7+F576*0.3</f>
        <v>569.70000000000005</v>
      </c>
      <c r="H576" s="7">
        <v>575</v>
      </c>
    </row>
    <row r="577" spans="1:8" ht="12.45" customHeight="1" x14ac:dyDescent="0.3">
      <c r="A577" s="2" t="s">
        <v>601</v>
      </c>
      <c r="B577" s="2">
        <v>51.5</v>
      </c>
      <c r="C577" s="2">
        <v>3.45</v>
      </c>
      <c r="D577" s="2">
        <v>177.45</v>
      </c>
      <c r="E577" s="6">
        <f>_xlfn.RANK.EQ(C577,C:C,0)</f>
        <v>564</v>
      </c>
      <c r="F577" s="6">
        <f>_xlfn.RANK.EQ(D577,D:D,0)</f>
        <v>589</v>
      </c>
      <c r="G577" s="2">
        <f>E577*0.7+F577*0.3</f>
        <v>571.5</v>
      </c>
      <c r="H577" s="7">
        <v>576</v>
      </c>
    </row>
    <row r="578" spans="1:8" ht="12.45" customHeight="1" x14ac:dyDescent="0.3">
      <c r="A578" s="2" t="s">
        <v>602</v>
      </c>
      <c r="B578" s="2">
        <v>53</v>
      </c>
      <c r="C578" s="2">
        <v>3.41</v>
      </c>
      <c r="D578" s="2">
        <v>180.9</v>
      </c>
      <c r="E578" s="6">
        <f>_xlfn.RANK.EQ(C578,C:C,0)</f>
        <v>573</v>
      </c>
      <c r="F578" s="6">
        <f>_xlfn.RANK.EQ(D578,D:D,0)</f>
        <v>571</v>
      </c>
      <c r="G578" s="2">
        <f>E578*0.7+F578*0.3</f>
        <v>572.4</v>
      </c>
      <c r="H578" s="7">
        <v>577</v>
      </c>
    </row>
    <row r="579" spans="1:8" ht="12.45" customHeight="1" x14ac:dyDescent="0.3">
      <c r="A579" s="2" t="s">
        <v>603</v>
      </c>
      <c r="B579" s="2">
        <v>56</v>
      </c>
      <c r="C579" s="2">
        <v>3.34</v>
      </c>
      <c r="D579" s="2">
        <v>186.9</v>
      </c>
      <c r="E579" s="6">
        <f>_xlfn.RANK.EQ(C579,C:C,0)</f>
        <v>586</v>
      </c>
      <c r="F579" s="6">
        <f>_xlfn.RANK.EQ(D579,D:D,0)</f>
        <v>544</v>
      </c>
      <c r="G579" s="2">
        <f>E579*0.7+F579*0.3</f>
        <v>573.4</v>
      </c>
      <c r="H579" s="7">
        <v>578</v>
      </c>
    </row>
    <row r="580" spans="1:8" ht="12.45" customHeight="1" x14ac:dyDescent="0.3">
      <c r="A580" s="2" t="s">
        <v>604</v>
      </c>
      <c r="B580" s="2">
        <v>47.5</v>
      </c>
      <c r="C580" s="2">
        <v>3.46</v>
      </c>
      <c r="D580" s="2">
        <v>164.55</v>
      </c>
      <c r="E580" s="6">
        <f>_xlfn.RANK.EQ(C580,C:C,0)</f>
        <v>558</v>
      </c>
      <c r="F580" s="6">
        <f>_xlfn.RANK.EQ(D580,D:D,0)</f>
        <v>631</v>
      </c>
      <c r="G580" s="2">
        <f>E580*0.7+F580*0.3</f>
        <v>579.9</v>
      </c>
      <c r="H580" s="7">
        <v>579</v>
      </c>
    </row>
    <row r="581" spans="1:8" ht="12.45" customHeight="1" x14ac:dyDescent="0.3">
      <c r="A581" s="2" t="s">
        <v>605</v>
      </c>
      <c r="B581" s="2">
        <v>49.5</v>
      </c>
      <c r="C581" s="2">
        <v>3.44</v>
      </c>
      <c r="D581" s="2">
        <v>170.4</v>
      </c>
      <c r="E581" s="6">
        <f>_xlfn.RANK.EQ(C581,C:C,0)</f>
        <v>567</v>
      </c>
      <c r="F581" s="6">
        <f>_xlfn.RANK.EQ(D581,D:D,0)</f>
        <v>614</v>
      </c>
      <c r="G581" s="2">
        <f>E581*0.7+F581*0.3</f>
        <v>581.09999999999991</v>
      </c>
      <c r="H581" s="7">
        <v>580</v>
      </c>
    </row>
    <row r="582" spans="1:8" ht="12.45" customHeight="1" x14ac:dyDescent="0.3">
      <c r="A582" s="2" t="s">
        <v>606</v>
      </c>
      <c r="B582" s="2">
        <v>53</v>
      </c>
      <c r="C582" s="2">
        <v>3.36</v>
      </c>
      <c r="D582" s="2">
        <v>178.2</v>
      </c>
      <c r="E582" s="6">
        <f>_xlfn.RANK.EQ(C582,C:C,0)</f>
        <v>582</v>
      </c>
      <c r="F582" s="6">
        <f>_xlfn.RANK.EQ(D582,D:D,0)</f>
        <v>582</v>
      </c>
      <c r="G582" s="2">
        <f>E582*0.7+F582*0.3</f>
        <v>582</v>
      </c>
      <c r="H582" s="7">
        <v>581</v>
      </c>
    </row>
    <row r="583" spans="1:8" ht="12.45" customHeight="1" x14ac:dyDescent="0.3">
      <c r="A583" s="2" t="s">
        <v>607</v>
      </c>
      <c r="B583" s="2">
        <v>55.5</v>
      </c>
      <c r="C583" s="2">
        <v>3.31</v>
      </c>
      <c r="D583" s="2">
        <v>183.45</v>
      </c>
      <c r="E583" s="6">
        <f>_xlfn.RANK.EQ(C583,C:C,0)</f>
        <v>591</v>
      </c>
      <c r="F583" s="6">
        <f>_xlfn.RANK.EQ(D583,D:D,0)</f>
        <v>562</v>
      </c>
      <c r="G583" s="2">
        <f>E583*0.7+F583*0.3</f>
        <v>582.29999999999995</v>
      </c>
      <c r="H583" s="7">
        <v>582</v>
      </c>
    </row>
    <row r="584" spans="1:8" ht="12.45" customHeight="1" x14ac:dyDescent="0.3">
      <c r="A584" s="2" t="s">
        <v>608</v>
      </c>
      <c r="B584" s="2">
        <v>53</v>
      </c>
      <c r="C584" s="2">
        <v>3.36</v>
      </c>
      <c r="D584" s="2">
        <v>178</v>
      </c>
      <c r="E584" s="6">
        <f>_xlfn.RANK.EQ(C584,C:C,0)</f>
        <v>582</v>
      </c>
      <c r="F584" s="6">
        <f>_xlfn.RANK.EQ(D584,D:D,0)</f>
        <v>586</v>
      </c>
      <c r="G584" s="2">
        <f>E584*0.7+F584*0.3</f>
        <v>583.19999999999993</v>
      </c>
      <c r="H584" s="7">
        <v>583</v>
      </c>
    </row>
    <row r="585" spans="1:8" ht="12.45" customHeight="1" x14ac:dyDescent="0.3">
      <c r="A585" s="2" t="s">
        <v>609</v>
      </c>
      <c r="B585" s="2">
        <v>53</v>
      </c>
      <c r="C585" s="2">
        <v>3.36</v>
      </c>
      <c r="D585" s="2">
        <v>177.9</v>
      </c>
      <c r="E585" s="6">
        <f>_xlfn.RANK.EQ(C585,C:C,0)</f>
        <v>582</v>
      </c>
      <c r="F585" s="6">
        <f>_xlfn.RANK.EQ(D585,D:D,0)</f>
        <v>587</v>
      </c>
      <c r="G585" s="2">
        <f>E585*0.7+F585*0.3</f>
        <v>583.5</v>
      </c>
      <c r="H585" s="7">
        <v>584</v>
      </c>
    </row>
    <row r="586" spans="1:8" ht="12.45" customHeight="1" x14ac:dyDescent="0.3">
      <c r="A586" s="2" t="s">
        <v>610</v>
      </c>
      <c r="B586" s="2">
        <v>51</v>
      </c>
      <c r="C586" s="2">
        <v>3.39</v>
      </c>
      <c r="D586" s="2">
        <v>172.8</v>
      </c>
      <c r="E586" s="6">
        <f>_xlfn.RANK.EQ(C586,C:C,0)</f>
        <v>575</v>
      </c>
      <c r="F586" s="6">
        <f>_xlfn.RANK.EQ(D586,D:D,0)</f>
        <v>604</v>
      </c>
      <c r="G586" s="2">
        <f>E586*0.7+F586*0.3</f>
        <v>583.70000000000005</v>
      </c>
      <c r="H586" s="7">
        <v>585</v>
      </c>
    </row>
    <row r="587" spans="1:8" ht="12.45" customHeight="1" x14ac:dyDescent="0.3">
      <c r="A587" s="2" t="s">
        <v>611</v>
      </c>
      <c r="B587" s="2">
        <v>55</v>
      </c>
      <c r="C587" s="2">
        <v>3.31</v>
      </c>
      <c r="D587" s="2">
        <v>182.15</v>
      </c>
      <c r="E587" s="6">
        <f>_xlfn.RANK.EQ(C587,C:C,0)</f>
        <v>591</v>
      </c>
      <c r="F587" s="6">
        <f>_xlfn.RANK.EQ(D587,D:D,0)</f>
        <v>567</v>
      </c>
      <c r="G587" s="2">
        <f>E587*0.7+F587*0.3</f>
        <v>583.79999999999995</v>
      </c>
      <c r="H587" s="7">
        <v>586</v>
      </c>
    </row>
    <row r="588" spans="1:8" ht="12.45" customHeight="1" x14ac:dyDescent="0.3">
      <c r="A588" s="2" t="s">
        <v>612</v>
      </c>
      <c r="B588" s="2">
        <v>51</v>
      </c>
      <c r="C588" s="2">
        <v>3.39</v>
      </c>
      <c r="D588" s="2">
        <v>172.65</v>
      </c>
      <c r="E588" s="6">
        <f>_xlfn.RANK.EQ(C588,C:C,0)</f>
        <v>575</v>
      </c>
      <c r="F588" s="6">
        <f>_xlfn.RANK.EQ(D588,D:D,0)</f>
        <v>606</v>
      </c>
      <c r="G588" s="2">
        <f>E588*0.7+F588*0.3</f>
        <v>584.29999999999995</v>
      </c>
      <c r="H588" s="7">
        <v>587</v>
      </c>
    </row>
    <row r="589" spans="1:8" ht="12.45" customHeight="1" x14ac:dyDescent="0.3">
      <c r="A589" s="2" t="s">
        <v>613</v>
      </c>
      <c r="B589" s="2">
        <v>54</v>
      </c>
      <c r="C589" s="2">
        <v>3.33</v>
      </c>
      <c r="D589" s="2">
        <v>179.95</v>
      </c>
      <c r="E589" s="6">
        <f>_xlfn.RANK.EQ(C589,C:C,0)</f>
        <v>587</v>
      </c>
      <c r="F589" s="6">
        <f>_xlfn.RANK.EQ(D589,D:D,0)</f>
        <v>578</v>
      </c>
      <c r="G589" s="2">
        <f>E589*0.7+F589*0.3</f>
        <v>584.29999999999995</v>
      </c>
      <c r="H589" s="7">
        <v>587</v>
      </c>
    </row>
    <row r="590" spans="1:8" ht="12.45" customHeight="1" x14ac:dyDescent="0.3">
      <c r="A590" s="2" t="s">
        <v>614</v>
      </c>
      <c r="B590" s="2">
        <v>54.5</v>
      </c>
      <c r="C590" s="2">
        <v>3.24</v>
      </c>
      <c r="D590" s="2">
        <v>189.8</v>
      </c>
      <c r="E590" s="6">
        <f>_xlfn.RANK.EQ(C590,C:C,0)</f>
        <v>610</v>
      </c>
      <c r="F590" s="6">
        <f>_xlfn.RANK.EQ(D590,D:D,0)</f>
        <v>526</v>
      </c>
      <c r="G590" s="2">
        <f>E590*0.7+F590*0.3</f>
        <v>584.79999999999995</v>
      </c>
      <c r="H590" s="7">
        <v>589</v>
      </c>
    </row>
    <row r="591" spans="1:8" ht="12.45" customHeight="1" x14ac:dyDescent="0.3">
      <c r="A591" s="2" t="s">
        <v>615</v>
      </c>
      <c r="B591" s="2">
        <v>48</v>
      </c>
      <c r="C591" s="2">
        <v>3.37</v>
      </c>
      <c r="D591" s="2">
        <v>175.25</v>
      </c>
      <c r="E591" s="6">
        <f>_xlfn.RANK.EQ(C591,C:C,0)</f>
        <v>581</v>
      </c>
      <c r="F591" s="6">
        <f>_xlfn.RANK.EQ(D591,D:D,0)</f>
        <v>596</v>
      </c>
      <c r="G591" s="2">
        <f>E591*0.7+F591*0.3</f>
        <v>585.5</v>
      </c>
      <c r="H591" s="7">
        <v>590</v>
      </c>
    </row>
    <row r="592" spans="1:8" ht="12.45" customHeight="1" x14ac:dyDescent="0.3">
      <c r="A592" s="2" t="s">
        <v>616</v>
      </c>
      <c r="B592" s="2">
        <v>52.5</v>
      </c>
      <c r="C592" s="2">
        <v>3.32</v>
      </c>
      <c r="D592" s="2">
        <v>179.4</v>
      </c>
      <c r="E592" s="6">
        <f>_xlfn.RANK.EQ(C592,C:C,0)</f>
        <v>589</v>
      </c>
      <c r="F592" s="6">
        <f>_xlfn.RANK.EQ(D592,D:D,0)</f>
        <v>579</v>
      </c>
      <c r="G592" s="2">
        <f>E592*0.7+F592*0.3</f>
        <v>586</v>
      </c>
      <c r="H592" s="7">
        <v>591</v>
      </c>
    </row>
    <row r="593" spans="1:8" ht="12.45" customHeight="1" x14ac:dyDescent="0.3">
      <c r="A593" s="2" t="s">
        <v>617</v>
      </c>
      <c r="B593" s="2">
        <v>54.5</v>
      </c>
      <c r="C593" s="2">
        <v>3.31</v>
      </c>
      <c r="D593" s="2">
        <v>180.15</v>
      </c>
      <c r="E593" s="6">
        <f>_xlfn.RANK.EQ(C593,C:C,0)</f>
        <v>591</v>
      </c>
      <c r="F593" s="6">
        <f>_xlfn.RANK.EQ(D593,D:D,0)</f>
        <v>577</v>
      </c>
      <c r="G593" s="2">
        <f>E593*0.7+F593*0.3</f>
        <v>586.79999999999995</v>
      </c>
      <c r="H593" s="7">
        <v>592</v>
      </c>
    </row>
    <row r="594" spans="1:8" ht="12.45" customHeight="1" x14ac:dyDescent="0.3">
      <c r="A594" s="2" t="s">
        <v>618</v>
      </c>
      <c r="B594" s="2">
        <v>52.5</v>
      </c>
      <c r="C594" s="2">
        <v>3.35</v>
      </c>
      <c r="D594" s="2">
        <v>175.95</v>
      </c>
      <c r="E594" s="6">
        <f>_xlfn.RANK.EQ(C594,C:C,0)</f>
        <v>585</v>
      </c>
      <c r="F594" s="6">
        <f>_xlfn.RANK.EQ(D594,D:D,0)</f>
        <v>594</v>
      </c>
      <c r="G594" s="2">
        <f>E594*0.7+F594*0.3</f>
        <v>587.70000000000005</v>
      </c>
      <c r="H594" s="7">
        <v>593</v>
      </c>
    </row>
    <row r="595" spans="1:8" ht="12.45" customHeight="1" x14ac:dyDescent="0.3">
      <c r="A595" s="2" t="s">
        <v>619</v>
      </c>
      <c r="B595" s="2">
        <v>56</v>
      </c>
      <c r="C595" s="2">
        <v>3.22</v>
      </c>
      <c r="D595" s="2">
        <v>186.6</v>
      </c>
      <c r="E595" s="6">
        <f>_xlfn.RANK.EQ(C595,C:C,0)</f>
        <v>613</v>
      </c>
      <c r="F595" s="6">
        <f>_xlfn.RANK.EQ(D595,D:D,0)</f>
        <v>546</v>
      </c>
      <c r="G595" s="2">
        <f>E595*0.7+F595*0.3</f>
        <v>592.9</v>
      </c>
      <c r="H595" s="7">
        <v>594</v>
      </c>
    </row>
    <row r="596" spans="1:8" ht="12.45" customHeight="1" x14ac:dyDescent="0.3">
      <c r="A596" s="2" t="s">
        <v>620</v>
      </c>
      <c r="B596" s="2">
        <v>52.5</v>
      </c>
      <c r="C596" s="2">
        <v>3.27</v>
      </c>
      <c r="D596" s="2">
        <v>178.05</v>
      </c>
      <c r="E596" s="6">
        <f>_xlfn.RANK.EQ(C596,C:C,0)</f>
        <v>601</v>
      </c>
      <c r="F596" s="6">
        <f>_xlfn.RANK.EQ(D596,D:D,0)</f>
        <v>584</v>
      </c>
      <c r="G596" s="2">
        <f>E596*0.7+F596*0.3</f>
        <v>595.9</v>
      </c>
      <c r="H596" s="7">
        <v>595</v>
      </c>
    </row>
    <row r="597" spans="1:8" ht="12.45" customHeight="1" x14ac:dyDescent="0.3">
      <c r="A597" s="2" t="s">
        <v>621</v>
      </c>
      <c r="B597" s="2">
        <v>55.5</v>
      </c>
      <c r="C597" s="2">
        <v>3.26</v>
      </c>
      <c r="D597" s="2">
        <v>180.9</v>
      </c>
      <c r="E597" s="6">
        <f>_xlfn.RANK.EQ(C597,C:C,0)</f>
        <v>607</v>
      </c>
      <c r="F597" s="6">
        <f>_xlfn.RANK.EQ(D597,D:D,0)</f>
        <v>571</v>
      </c>
      <c r="G597" s="2">
        <f>E597*0.7+F597*0.3</f>
        <v>596.19999999999993</v>
      </c>
      <c r="H597" s="7">
        <v>596</v>
      </c>
    </row>
    <row r="598" spans="1:8" ht="12.45" customHeight="1" x14ac:dyDescent="0.3">
      <c r="A598" s="2" t="s">
        <v>622</v>
      </c>
      <c r="B598" s="2">
        <v>47</v>
      </c>
      <c r="C598" s="2">
        <v>3.29</v>
      </c>
      <c r="D598" s="2">
        <v>174.15</v>
      </c>
      <c r="E598" s="6">
        <f>_xlfn.RANK.EQ(C598,C:C,0)</f>
        <v>597</v>
      </c>
      <c r="F598" s="6">
        <f>_xlfn.RANK.EQ(D598,D:D,0)</f>
        <v>599</v>
      </c>
      <c r="G598" s="2">
        <f>E598*0.7+F598*0.3</f>
        <v>597.59999999999991</v>
      </c>
      <c r="H598" s="7">
        <v>597</v>
      </c>
    </row>
    <row r="599" spans="1:8" ht="12.45" customHeight="1" x14ac:dyDescent="0.3">
      <c r="A599" s="2" t="s">
        <v>623</v>
      </c>
      <c r="B599" s="2">
        <v>46.5</v>
      </c>
      <c r="C599" s="2">
        <v>3.32</v>
      </c>
      <c r="D599" s="2">
        <v>167.85</v>
      </c>
      <c r="E599" s="6">
        <f>_xlfn.RANK.EQ(C599,C:C,0)</f>
        <v>589</v>
      </c>
      <c r="F599" s="6">
        <f>_xlfn.RANK.EQ(D599,D:D,0)</f>
        <v>622</v>
      </c>
      <c r="G599" s="2">
        <f>E599*0.7+F599*0.3</f>
        <v>598.9</v>
      </c>
      <c r="H599" s="7">
        <v>598</v>
      </c>
    </row>
    <row r="600" spans="1:8" ht="12.45" customHeight="1" x14ac:dyDescent="0.3">
      <c r="A600" s="2" t="s">
        <v>624</v>
      </c>
      <c r="B600" s="2">
        <v>52.5</v>
      </c>
      <c r="C600" s="2">
        <v>3.29</v>
      </c>
      <c r="D600" s="2">
        <v>172.8</v>
      </c>
      <c r="E600" s="6">
        <f>_xlfn.RANK.EQ(C600,C:C,0)</f>
        <v>597</v>
      </c>
      <c r="F600" s="6">
        <f>_xlfn.RANK.EQ(D600,D:D,0)</f>
        <v>604</v>
      </c>
      <c r="G600" s="2">
        <f>E600*0.7+F600*0.3</f>
        <v>599.09999999999991</v>
      </c>
      <c r="H600" s="7">
        <v>599</v>
      </c>
    </row>
    <row r="601" spans="1:8" ht="12.45" customHeight="1" x14ac:dyDescent="0.3">
      <c r="A601" s="2" t="s">
        <v>625</v>
      </c>
      <c r="B601" s="2">
        <v>51</v>
      </c>
      <c r="C601" s="2">
        <v>3.31</v>
      </c>
      <c r="D601" s="2">
        <v>168.3</v>
      </c>
      <c r="E601" s="6">
        <f>_xlfn.RANK.EQ(C601,C:C,0)</f>
        <v>591</v>
      </c>
      <c r="F601" s="6">
        <f>_xlfn.RANK.EQ(D601,D:D,0)</f>
        <v>620</v>
      </c>
      <c r="G601" s="2">
        <f>E601*0.7+F601*0.3</f>
        <v>599.70000000000005</v>
      </c>
      <c r="H601" s="7">
        <v>600</v>
      </c>
    </row>
    <row r="602" spans="1:8" ht="12.45" customHeight="1" x14ac:dyDescent="0.3">
      <c r="A602" s="2" t="s">
        <v>626</v>
      </c>
      <c r="B602" s="2">
        <v>48</v>
      </c>
      <c r="C602" s="2">
        <v>3.27</v>
      </c>
      <c r="D602" s="2">
        <v>175.05</v>
      </c>
      <c r="E602" s="6">
        <f>_xlfn.RANK.EQ(C602,C:C,0)</f>
        <v>601</v>
      </c>
      <c r="F602" s="6">
        <f>_xlfn.RANK.EQ(D602,D:D,0)</f>
        <v>597</v>
      </c>
      <c r="G602" s="2">
        <f>E602*0.7+F602*0.3</f>
        <v>599.79999999999995</v>
      </c>
      <c r="H602" s="7">
        <v>601</v>
      </c>
    </row>
    <row r="603" spans="1:8" ht="12.45" customHeight="1" x14ac:dyDescent="0.3">
      <c r="A603" s="2" t="s">
        <v>627</v>
      </c>
      <c r="B603" s="2">
        <v>48</v>
      </c>
      <c r="C603" s="2">
        <v>3.29</v>
      </c>
      <c r="D603" s="2">
        <v>171.15</v>
      </c>
      <c r="E603" s="6">
        <f>_xlfn.RANK.EQ(C603,C:C,0)</f>
        <v>597</v>
      </c>
      <c r="F603" s="6">
        <f>_xlfn.RANK.EQ(D603,D:D,0)</f>
        <v>610</v>
      </c>
      <c r="G603" s="2">
        <f>E603*0.7+F603*0.3</f>
        <v>600.9</v>
      </c>
      <c r="H603" s="7">
        <v>602</v>
      </c>
    </row>
    <row r="604" spans="1:8" ht="12.45" customHeight="1" x14ac:dyDescent="0.3">
      <c r="A604" s="2" t="s">
        <v>628</v>
      </c>
      <c r="B604" s="2">
        <v>50.5</v>
      </c>
      <c r="C604" s="2">
        <v>3.23</v>
      </c>
      <c r="D604" s="2">
        <v>179.4</v>
      </c>
      <c r="E604" s="6">
        <f>_xlfn.RANK.EQ(C604,C:C,0)</f>
        <v>611</v>
      </c>
      <c r="F604" s="6">
        <f>_xlfn.RANK.EQ(D604,D:D,0)</f>
        <v>579</v>
      </c>
      <c r="G604" s="2">
        <f>E604*0.7+F604*0.3</f>
        <v>601.4</v>
      </c>
      <c r="H604" s="7">
        <v>603</v>
      </c>
    </row>
    <row r="605" spans="1:8" ht="12.45" customHeight="1" x14ac:dyDescent="0.3">
      <c r="A605" s="2" t="s">
        <v>629</v>
      </c>
      <c r="B605" s="2">
        <v>46</v>
      </c>
      <c r="C605" s="2">
        <v>3.27</v>
      </c>
      <c r="D605" s="2">
        <v>173.05</v>
      </c>
      <c r="E605" s="6">
        <f>_xlfn.RANK.EQ(C605,C:C,0)</f>
        <v>601</v>
      </c>
      <c r="F605" s="6">
        <f>_xlfn.RANK.EQ(D605,D:D,0)</f>
        <v>603</v>
      </c>
      <c r="G605" s="2">
        <f>E605*0.7+F605*0.3</f>
        <v>601.6</v>
      </c>
      <c r="H605" s="7">
        <v>604</v>
      </c>
    </row>
    <row r="606" spans="1:8" ht="12.45" customHeight="1" x14ac:dyDescent="0.3">
      <c r="A606" s="2" t="s">
        <v>630</v>
      </c>
      <c r="B606" s="2">
        <v>55.5</v>
      </c>
      <c r="C606" s="2">
        <v>3.2</v>
      </c>
      <c r="D606" s="2">
        <v>184.25</v>
      </c>
      <c r="E606" s="6">
        <f>_xlfn.RANK.EQ(C606,C:C,0)</f>
        <v>621</v>
      </c>
      <c r="F606" s="6">
        <f>_xlfn.RANK.EQ(D606,D:D,0)</f>
        <v>558</v>
      </c>
      <c r="G606" s="2">
        <f>E606*0.7+F606*0.3</f>
        <v>602.1</v>
      </c>
      <c r="H606" s="7">
        <v>605</v>
      </c>
    </row>
    <row r="607" spans="1:8" ht="12.45" customHeight="1" x14ac:dyDescent="0.3">
      <c r="A607" s="2" t="s">
        <v>631</v>
      </c>
      <c r="B607" s="2">
        <v>45</v>
      </c>
      <c r="C607" s="2">
        <v>3.33</v>
      </c>
      <c r="D607" s="2">
        <v>159.65</v>
      </c>
      <c r="E607" s="6">
        <f>_xlfn.RANK.EQ(C607,C:C,0)</f>
        <v>587</v>
      </c>
      <c r="F607" s="6">
        <f>_xlfn.RANK.EQ(D607,D:D,0)</f>
        <v>641</v>
      </c>
      <c r="G607" s="2">
        <f>E607*0.7+F607*0.3</f>
        <v>603.19999999999993</v>
      </c>
      <c r="H607" s="7">
        <v>606</v>
      </c>
    </row>
    <row r="608" spans="1:8" ht="12.45" customHeight="1" x14ac:dyDescent="0.3">
      <c r="A608" s="2" t="s">
        <v>632</v>
      </c>
      <c r="B608" s="2">
        <v>49.5</v>
      </c>
      <c r="C608" s="2">
        <v>3.31</v>
      </c>
      <c r="D608" s="2">
        <v>163.95</v>
      </c>
      <c r="E608" s="6">
        <f>_xlfn.RANK.EQ(C608,C:C,0)</f>
        <v>591</v>
      </c>
      <c r="F608" s="6">
        <f>_xlfn.RANK.EQ(D608,D:D,0)</f>
        <v>633</v>
      </c>
      <c r="G608" s="2">
        <f>E608*0.7+F608*0.3</f>
        <v>603.6</v>
      </c>
      <c r="H608" s="7">
        <v>607</v>
      </c>
    </row>
    <row r="609" spans="1:8" ht="12.45" customHeight="1" x14ac:dyDescent="0.3">
      <c r="A609" s="2" t="s">
        <v>633</v>
      </c>
      <c r="B609" s="2">
        <v>53.5</v>
      </c>
      <c r="C609" s="2">
        <v>3.26</v>
      </c>
      <c r="D609" s="2">
        <v>174.3</v>
      </c>
      <c r="E609" s="6">
        <f>_xlfn.RANK.EQ(C609,C:C,0)</f>
        <v>607</v>
      </c>
      <c r="F609" s="6">
        <f>_xlfn.RANK.EQ(D609,D:D,0)</f>
        <v>598</v>
      </c>
      <c r="G609" s="2">
        <f>E609*0.7+F609*0.3</f>
        <v>604.29999999999995</v>
      </c>
      <c r="H609" s="7">
        <v>608</v>
      </c>
    </row>
    <row r="610" spans="1:8" ht="12.45" customHeight="1" x14ac:dyDescent="0.3">
      <c r="A610" s="2" t="s">
        <v>634</v>
      </c>
      <c r="B610" s="2">
        <v>53.5</v>
      </c>
      <c r="C610" s="2">
        <v>3.21</v>
      </c>
      <c r="D610" s="2">
        <v>176.65</v>
      </c>
      <c r="E610" s="6">
        <f>_xlfn.RANK.EQ(C610,C:C,0)</f>
        <v>615</v>
      </c>
      <c r="F610" s="6">
        <f>_xlfn.RANK.EQ(D610,D:D,0)</f>
        <v>593</v>
      </c>
      <c r="G610" s="2">
        <f>E610*0.7+F610*0.3</f>
        <v>608.4</v>
      </c>
      <c r="H610" s="7">
        <v>609</v>
      </c>
    </row>
    <row r="611" spans="1:8" ht="12.45" customHeight="1" x14ac:dyDescent="0.3">
      <c r="A611" s="2" t="s">
        <v>635</v>
      </c>
      <c r="B611" s="2">
        <v>50.5</v>
      </c>
      <c r="C611" s="2">
        <v>3.27</v>
      </c>
      <c r="D611" s="2">
        <v>165</v>
      </c>
      <c r="E611" s="6">
        <f>_xlfn.RANK.EQ(C611,C:C,0)</f>
        <v>601</v>
      </c>
      <c r="F611" s="6">
        <f>_xlfn.RANK.EQ(D611,D:D,0)</f>
        <v>628</v>
      </c>
      <c r="G611" s="2">
        <f>E611*0.7+F611*0.3</f>
        <v>609.1</v>
      </c>
      <c r="H611" s="7">
        <v>610</v>
      </c>
    </row>
    <row r="612" spans="1:8" ht="12.45" customHeight="1" x14ac:dyDescent="0.3">
      <c r="A612" s="2" t="s">
        <v>636</v>
      </c>
      <c r="B612" s="2">
        <v>54</v>
      </c>
      <c r="C612" s="2">
        <v>3.22</v>
      </c>
      <c r="D612" s="2">
        <v>173.85</v>
      </c>
      <c r="E612" s="6">
        <f>_xlfn.RANK.EQ(C612,C:C,0)</f>
        <v>613</v>
      </c>
      <c r="F612" s="6">
        <f>_xlfn.RANK.EQ(D612,D:D,0)</f>
        <v>601</v>
      </c>
      <c r="G612" s="2">
        <f>E612*0.7+F612*0.3</f>
        <v>609.4</v>
      </c>
      <c r="H612" s="7">
        <v>611</v>
      </c>
    </row>
    <row r="613" spans="1:8" ht="12.45" customHeight="1" x14ac:dyDescent="0.3">
      <c r="A613" s="2" t="s">
        <v>637</v>
      </c>
      <c r="B613" s="2">
        <v>52</v>
      </c>
      <c r="C613" s="2">
        <v>3.17</v>
      </c>
      <c r="D613" s="2">
        <v>180.75</v>
      </c>
      <c r="E613" s="6">
        <f>_xlfn.RANK.EQ(C613,C:C,0)</f>
        <v>626</v>
      </c>
      <c r="F613" s="6">
        <f>_xlfn.RANK.EQ(D613,D:D,0)</f>
        <v>574</v>
      </c>
      <c r="G613" s="2">
        <f>E613*0.7+F613*0.3</f>
        <v>610.4</v>
      </c>
      <c r="H613" s="7">
        <v>612</v>
      </c>
    </row>
    <row r="614" spans="1:8" ht="12.45" customHeight="1" x14ac:dyDescent="0.3">
      <c r="A614" s="2" t="s">
        <v>638</v>
      </c>
      <c r="B614" s="2">
        <v>53</v>
      </c>
      <c r="C614" s="2">
        <v>3.17</v>
      </c>
      <c r="D614" s="2">
        <v>180.7</v>
      </c>
      <c r="E614" s="6">
        <f>_xlfn.RANK.EQ(C614,C:C,0)</f>
        <v>626</v>
      </c>
      <c r="F614" s="6">
        <f>_xlfn.RANK.EQ(D614,D:D,0)</f>
        <v>575</v>
      </c>
      <c r="G614" s="2">
        <f>E614*0.7+F614*0.3</f>
        <v>610.70000000000005</v>
      </c>
      <c r="H614" s="7">
        <v>613</v>
      </c>
    </row>
    <row r="615" spans="1:8" ht="12.45" customHeight="1" x14ac:dyDescent="0.3">
      <c r="A615" s="2" t="s">
        <v>639</v>
      </c>
      <c r="B615" s="2">
        <v>54</v>
      </c>
      <c r="C615" s="2">
        <v>3.21</v>
      </c>
      <c r="D615" s="2">
        <v>173.1</v>
      </c>
      <c r="E615" s="6">
        <f>_xlfn.RANK.EQ(C615,C:C,0)</f>
        <v>615</v>
      </c>
      <c r="F615" s="6">
        <f>_xlfn.RANK.EQ(D615,D:D,0)</f>
        <v>602</v>
      </c>
      <c r="G615" s="2">
        <f>E615*0.7+F615*0.3</f>
        <v>611.1</v>
      </c>
      <c r="H615" s="7">
        <v>614</v>
      </c>
    </row>
    <row r="616" spans="1:8" ht="12.45" customHeight="1" x14ac:dyDescent="0.3">
      <c r="A616" s="2" t="s">
        <v>640</v>
      </c>
      <c r="B616" s="2">
        <v>55.5</v>
      </c>
      <c r="C616" s="2">
        <v>3.2</v>
      </c>
      <c r="D616" s="2">
        <v>177.75</v>
      </c>
      <c r="E616" s="6">
        <f>_xlfn.RANK.EQ(C616,C:C,0)</f>
        <v>621</v>
      </c>
      <c r="F616" s="6">
        <f>_xlfn.RANK.EQ(D616,D:D,0)</f>
        <v>588</v>
      </c>
      <c r="G616" s="2">
        <f>E616*0.7+F616*0.3</f>
        <v>611.1</v>
      </c>
      <c r="H616" s="7">
        <v>614</v>
      </c>
    </row>
    <row r="617" spans="1:8" ht="12.45" customHeight="1" x14ac:dyDescent="0.3">
      <c r="A617" s="2" t="s">
        <v>641</v>
      </c>
      <c r="B617" s="2">
        <v>49.5</v>
      </c>
      <c r="C617" s="2">
        <v>3.27</v>
      </c>
      <c r="D617" s="2">
        <v>161.69999999999999</v>
      </c>
      <c r="E617" s="6">
        <f>_xlfn.RANK.EQ(C617,C:C,0)</f>
        <v>601</v>
      </c>
      <c r="F617" s="6">
        <f>_xlfn.RANK.EQ(D617,D:D,0)</f>
        <v>636</v>
      </c>
      <c r="G617" s="2">
        <f>E617*0.7+F617*0.3</f>
        <v>611.5</v>
      </c>
      <c r="H617" s="7">
        <v>616</v>
      </c>
    </row>
    <row r="618" spans="1:8" ht="12.45" customHeight="1" x14ac:dyDescent="0.3">
      <c r="A618" s="2" t="s">
        <v>642</v>
      </c>
      <c r="B618" s="2">
        <v>53.5</v>
      </c>
      <c r="C618" s="2">
        <v>3.21</v>
      </c>
      <c r="D618" s="2">
        <v>171.75</v>
      </c>
      <c r="E618" s="6">
        <f>_xlfn.RANK.EQ(C618,C:C,0)</f>
        <v>615</v>
      </c>
      <c r="F618" s="6">
        <f>_xlfn.RANK.EQ(D618,D:D,0)</f>
        <v>607</v>
      </c>
      <c r="G618" s="2">
        <f>E618*0.7+F618*0.3</f>
        <v>612.6</v>
      </c>
      <c r="H618" s="7">
        <v>617</v>
      </c>
    </row>
    <row r="619" spans="1:8" ht="12.45" customHeight="1" x14ac:dyDescent="0.3">
      <c r="A619" s="2" t="s">
        <v>643</v>
      </c>
      <c r="B619" s="2">
        <v>48.5</v>
      </c>
      <c r="C619" s="2">
        <v>3.27</v>
      </c>
      <c r="D619" s="2">
        <v>158.69999999999999</v>
      </c>
      <c r="E619" s="6">
        <f>_xlfn.RANK.EQ(C619,C:C,0)</f>
        <v>601</v>
      </c>
      <c r="F619" s="6">
        <f>_xlfn.RANK.EQ(D619,D:D,0)</f>
        <v>644</v>
      </c>
      <c r="G619" s="2">
        <f>E619*0.7+F619*0.3</f>
        <v>613.9</v>
      </c>
      <c r="H619" s="7">
        <v>618</v>
      </c>
    </row>
    <row r="620" spans="1:8" ht="12.45" customHeight="1" x14ac:dyDescent="0.3">
      <c r="A620" s="2" t="s">
        <v>644</v>
      </c>
      <c r="B620" s="2">
        <v>48</v>
      </c>
      <c r="C620" s="2">
        <v>3.23</v>
      </c>
      <c r="D620" s="2">
        <v>167.85</v>
      </c>
      <c r="E620" s="6">
        <f>_xlfn.RANK.EQ(C620,C:C,0)</f>
        <v>611</v>
      </c>
      <c r="F620" s="6">
        <f>_xlfn.RANK.EQ(D620,D:D,0)</f>
        <v>622</v>
      </c>
      <c r="G620" s="2">
        <f>E620*0.7+F620*0.3</f>
        <v>614.29999999999995</v>
      </c>
      <c r="H620" s="7">
        <v>619</v>
      </c>
    </row>
    <row r="621" spans="1:8" ht="12.45" customHeight="1" x14ac:dyDescent="0.3">
      <c r="A621" s="2" t="s">
        <v>645</v>
      </c>
      <c r="B621" s="2">
        <v>52.5</v>
      </c>
      <c r="C621" s="2">
        <v>3.21</v>
      </c>
      <c r="D621" s="2">
        <v>168.3</v>
      </c>
      <c r="E621" s="6">
        <f>_xlfn.RANK.EQ(C621,C:C,0)</f>
        <v>615</v>
      </c>
      <c r="F621" s="6">
        <f>_xlfn.RANK.EQ(D621,D:D,0)</f>
        <v>620</v>
      </c>
      <c r="G621" s="2">
        <f>E621*0.7+F621*0.3</f>
        <v>616.5</v>
      </c>
      <c r="H621" s="7">
        <v>620</v>
      </c>
    </row>
    <row r="622" spans="1:8" ht="12.45" customHeight="1" x14ac:dyDescent="0.3">
      <c r="A622" s="2" t="s">
        <v>646</v>
      </c>
      <c r="B622" s="2">
        <v>50.5</v>
      </c>
      <c r="C622" s="2">
        <v>3.17</v>
      </c>
      <c r="D622" s="2">
        <v>175.8</v>
      </c>
      <c r="E622" s="6">
        <f>_xlfn.RANK.EQ(C622,C:C,0)</f>
        <v>626</v>
      </c>
      <c r="F622" s="6">
        <f>_xlfn.RANK.EQ(D622,D:D,0)</f>
        <v>595</v>
      </c>
      <c r="G622" s="2">
        <f>E622*0.7+F622*0.3</f>
        <v>616.70000000000005</v>
      </c>
      <c r="H622" s="7">
        <v>621</v>
      </c>
    </row>
    <row r="623" spans="1:8" ht="12.45" customHeight="1" x14ac:dyDescent="0.3">
      <c r="A623" s="2" t="s">
        <v>647</v>
      </c>
      <c r="B623" s="2">
        <v>46.5</v>
      </c>
      <c r="C623" s="2">
        <v>3.28</v>
      </c>
      <c r="D623" s="2">
        <v>152.55000000000001</v>
      </c>
      <c r="E623" s="6">
        <f>_xlfn.RANK.EQ(C623,C:C,0)</f>
        <v>600</v>
      </c>
      <c r="F623" s="6">
        <f>_xlfn.RANK.EQ(D623,D:D,0)</f>
        <v>656</v>
      </c>
      <c r="G623" s="2">
        <f>E623*0.7+F623*0.3</f>
        <v>616.79999999999995</v>
      </c>
      <c r="H623" s="7">
        <v>622</v>
      </c>
    </row>
    <row r="624" spans="1:8" ht="12.45" customHeight="1" x14ac:dyDescent="0.3">
      <c r="A624" s="2" t="s">
        <v>648</v>
      </c>
      <c r="B624" s="2">
        <v>49</v>
      </c>
      <c r="C624" s="2">
        <v>3.26</v>
      </c>
      <c r="D624" s="2">
        <v>159.9</v>
      </c>
      <c r="E624" s="6">
        <f>_xlfn.RANK.EQ(C624,C:C,0)</f>
        <v>607</v>
      </c>
      <c r="F624" s="6">
        <f>_xlfn.RANK.EQ(D624,D:D,0)</f>
        <v>640</v>
      </c>
      <c r="G624" s="2">
        <f>E624*0.7+F624*0.3</f>
        <v>616.9</v>
      </c>
      <c r="H624" s="7">
        <v>623</v>
      </c>
    </row>
    <row r="625" spans="1:8" ht="12.45" customHeight="1" x14ac:dyDescent="0.3">
      <c r="A625" s="2" t="s">
        <v>649</v>
      </c>
      <c r="B625" s="2">
        <v>53.5</v>
      </c>
      <c r="C625" s="2">
        <v>3.2</v>
      </c>
      <c r="D625" s="2">
        <v>171.3</v>
      </c>
      <c r="E625" s="6">
        <f>_xlfn.RANK.EQ(C625,C:C,0)</f>
        <v>621</v>
      </c>
      <c r="F625" s="6">
        <f>_xlfn.RANK.EQ(D625,D:D,0)</f>
        <v>608</v>
      </c>
      <c r="G625" s="2">
        <f>E625*0.7+F625*0.3</f>
        <v>617.1</v>
      </c>
      <c r="H625" s="7">
        <v>624</v>
      </c>
    </row>
    <row r="626" spans="1:8" ht="12.45" customHeight="1" x14ac:dyDescent="0.3">
      <c r="A626" s="2" t="s">
        <v>650</v>
      </c>
      <c r="B626" s="2">
        <v>52</v>
      </c>
      <c r="C626" s="2">
        <v>3.21</v>
      </c>
      <c r="D626" s="2">
        <v>167.1</v>
      </c>
      <c r="E626" s="6">
        <f>_xlfn.RANK.EQ(C626,C:C,0)</f>
        <v>615</v>
      </c>
      <c r="F626" s="6">
        <f>_xlfn.RANK.EQ(D626,D:D,0)</f>
        <v>625</v>
      </c>
      <c r="G626" s="2">
        <f>E626*0.7+F626*0.3</f>
        <v>618</v>
      </c>
      <c r="H626" s="7">
        <v>625</v>
      </c>
    </row>
    <row r="627" spans="1:8" ht="12.45" customHeight="1" x14ac:dyDescent="0.3">
      <c r="A627" s="2" t="s">
        <v>651</v>
      </c>
      <c r="B627" s="2">
        <v>46.5</v>
      </c>
      <c r="C627" s="2">
        <v>3.21</v>
      </c>
      <c r="D627" s="2">
        <v>162</v>
      </c>
      <c r="E627" s="6">
        <f>_xlfn.RANK.EQ(C627,C:C,0)</f>
        <v>615</v>
      </c>
      <c r="F627" s="6">
        <f>_xlfn.RANK.EQ(D627,D:D,0)</f>
        <v>635</v>
      </c>
      <c r="G627" s="2">
        <f>E627*0.7+F627*0.3</f>
        <v>621</v>
      </c>
      <c r="H627" s="7">
        <v>626</v>
      </c>
    </row>
    <row r="628" spans="1:8" ht="12.45" customHeight="1" x14ac:dyDescent="0.3">
      <c r="A628" s="2" t="s">
        <v>652</v>
      </c>
      <c r="B628" s="2">
        <v>52</v>
      </c>
      <c r="C628" s="2">
        <v>3.07</v>
      </c>
      <c r="D628" s="2">
        <v>178.1</v>
      </c>
      <c r="E628" s="6">
        <f>_xlfn.RANK.EQ(C628,C:C,0)</f>
        <v>639</v>
      </c>
      <c r="F628" s="6">
        <f>_xlfn.RANK.EQ(D628,D:D,0)</f>
        <v>583</v>
      </c>
      <c r="G628" s="2">
        <f>E628*0.7+F628*0.3</f>
        <v>622.19999999999993</v>
      </c>
      <c r="H628" s="7">
        <v>627</v>
      </c>
    </row>
    <row r="629" spans="1:8" ht="12.45" customHeight="1" x14ac:dyDescent="0.3">
      <c r="A629" s="2" t="s">
        <v>653</v>
      </c>
      <c r="B629" s="2">
        <v>54.5</v>
      </c>
      <c r="C629" s="2">
        <v>3.06</v>
      </c>
      <c r="D629" s="2">
        <v>178.85</v>
      </c>
      <c r="E629" s="6">
        <f>_xlfn.RANK.EQ(C629,C:C,0)</f>
        <v>640</v>
      </c>
      <c r="F629" s="6">
        <f>_xlfn.RANK.EQ(D629,D:D,0)</f>
        <v>581</v>
      </c>
      <c r="G629" s="2">
        <f>E629*0.7+F629*0.3</f>
        <v>622.29999999999995</v>
      </c>
      <c r="H629" s="7">
        <v>628</v>
      </c>
    </row>
    <row r="630" spans="1:8" ht="12.45" customHeight="1" x14ac:dyDescent="0.3">
      <c r="A630" s="2" t="s">
        <v>654</v>
      </c>
      <c r="B630" s="2">
        <v>50.5</v>
      </c>
      <c r="C630" s="2">
        <v>3.18</v>
      </c>
      <c r="D630" s="2">
        <v>168.45</v>
      </c>
      <c r="E630" s="6">
        <f>_xlfn.RANK.EQ(C630,C:C,0)</f>
        <v>625</v>
      </c>
      <c r="F630" s="6">
        <f>_xlfn.RANK.EQ(D630,D:D,0)</f>
        <v>618</v>
      </c>
      <c r="G630" s="2">
        <f>E630*0.7+F630*0.3</f>
        <v>622.9</v>
      </c>
      <c r="H630" s="7">
        <v>629</v>
      </c>
    </row>
    <row r="631" spans="1:8" ht="12.45" customHeight="1" x14ac:dyDescent="0.3">
      <c r="A631" s="2" t="s">
        <v>655</v>
      </c>
      <c r="B631" s="2">
        <v>51.5</v>
      </c>
      <c r="C631" s="2">
        <v>3.2</v>
      </c>
      <c r="D631" s="2">
        <v>164.85</v>
      </c>
      <c r="E631" s="6">
        <f>_xlfn.RANK.EQ(C631,C:C,0)</f>
        <v>621</v>
      </c>
      <c r="F631" s="6">
        <f>_xlfn.RANK.EQ(D631,D:D,0)</f>
        <v>630</v>
      </c>
      <c r="G631" s="2">
        <f>E631*0.7+F631*0.3</f>
        <v>623.70000000000005</v>
      </c>
      <c r="H631" s="7">
        <v>630</v>
      </c>
    </row>
    <row r="632" spans="1:8" ht="12.45" customHeight="1" x14ac:dyDescent="0.3">
      <c r="A632" s="2" t="s">
        <v>656</v>
      </c>
      <c r="B632" s="2">
        <v>50</v>
      </c>
      <c r="C632" s="2">
        <v>3.11</v>
      </c>
      <c r="D632" s="2">
        <v>170.8</v>
      </c>
      <c r="E632" s="6">
        <f>_xlfn.RANK.EQ(C632,C:C,0)</f>
        <v>633</v>
      </c>
      <c r="F632" s="6">
        <f>_xlfn.RANK.EQ(D632,D:D,0)</f>
        <v>612</v>
      </c>
      <c r="G632" s="2">
        <f>E632*0.7+F632*0.3</f>
        <v>626.69999999999993</v>
      </c>
      <c r="H632" s="7">
        <v>631</v>
      </c>
    </row>
    <row r="633" spans="1:8" ht="12.45" customHeight="1" x14ac:dyDescent="0.3">
      <c r="A633" s="2" t="s">
        <v>657</v>
      </c>
      <c r="B633" s="2">
        <v>60</v>
      </c>
      <c r="C633" s="2">
        <v>2.96</v>
      </c>
      <c r="D633" s="2">
        <v>177.3</v>
      </c>
      <c r="E633" s="6">
        <f>_xlfn.RANK.EQ(C633,C:C,0)</f>
        <v>646</v>
      </c>
      <c r="F633" s="6">
        <f>_xlfn.RANK.EQ(D633,D:D,0)</f>
        <v>590</v>
      </c>
      <c r="G633" s="2">
        <f>E633*0.7+F633*0.3</f>
        <v>629.20000000000005</v>
      </c>
      <c r="H633" s="7">
        <v>632</v>
      </c>
    </row>
    <row r="634" spans="1:8" ht="12.45" customHeight="1" x14ac:dyDescent="0.3">
      <c r="A634" s="2" t="s">
        <v>658</v>
      </c>
      <c r="B634" s="2">
        <v>52</v>
      </c>
      <c r="C634" s="2">
        <v>3.16</v>
      </c>
      <c r="D634" s="2">
        <v>164.4</v>
      </c>
      <c r="E634" s="6">
        <f>_xlfn.RANK.EQ(C634,C:C,0)</f>
        <v>629</v>
      </c>
      <c r="F634" s="6">
        <f>_xlfn.RANK.EQ(D634,D:D,0)</f>
        <v>632</v>
      </c>
      <c r="G634" s="2">
        <f>E634*0.7+F634*0.3</f>
        <v>629.9</v>
      </c>
      <c r="H634" s="7">
        <v>633</v>
      </c>
    </row>
    <row r="635" spans="1:8" ht="12.45" customHeight="1" x14ac:dyDescent="0.3">
      <c r="A635" s="2" t="s">
        <v>659</v>
      </c>
      <c r="B635" s="2">
        <v>49.5</v>
      </c>
      <c r="C635" s="2">
        <v>3.1</v>
      </c>
      <c r="D635" s="2">
        <v>166.05</v>
      </c>
      <c r="E635" s="6">
        <f>_xlfn.RANK.EQ(C635,C:C,0)</f>
        <v>635</v>
      </c>
      <c r="F635" s="6">
        <f>_xlfn.RANK.EQ(D635,D:D,0)</f>
        <v>627</v>
      </c>
      <c r="G635" s="2">
        <f>E635*0.7+F635*0.3</f>
        <v>632.6</v>
      </c>
      <c r="H635" s="7">
        <v>634</v>
      </c>
    </row>
    <row r="636" spans="1:8" ht="12.45" customHeight="1" x14ac:dyDescent="0.3">
      <c r="A636" s="2" t="s">
        <v>660</v>
      </c>
      <c r="B636" s="2">
        <v>52</v>
      </c>
      <c r="C636" s="2">
        <v>2.99</v>
      </c>
      <c r="D636" s="2">
        <v>170.65</v>
      </c>
      <c r="E636" s="6">
        <f>_xlfn.RANK.EQ(C636,C:C,0)</f>
        <v>643</v>
      </c>
      <c r="F636" s="6">
        <f>_xlfn.RANK.EQ(D636,D:D,0)</f>
        <v>613</v>
      </c>
      <c r="G636" s="2">
        <f>E636*0.7+F636*0.3</f>
        <v>634</v>
      </c>
      <c r="H636" s="7">
        <v>635</v>
      </c>
    </row>
    <row r="637" spans="1:8" ht="12.45" customHeight="1" x14ac:dyDescent="0.3">
      <c r="A637" s="2" t="s">
        <v>661</v>
      </c>
      <c r="B637" s="2">
        <v>53.5</v>
      </c>
      <c r="C637" s="2">
        <v>2.95</v>
      </c>
      <c r="D637" s="2">
        <v>174</v>
      </c>
      <c r="E637" s="6">
        <f>_xlfn.RANK.EQ(C637,C:C,0)</f>
        <v>649</v>
      </c>
      <c r="F637" s="6">
        <f>_xlfn.RANK.EQ(D637,D:D,0)</f>
        <v>600</v>
      </c>
      <c r="G637" s="2">
        <f>E637*0.7+F637*0.3</f>
        <v>634.29999999999995</v>
      </c>
      <c r="H637" s="7">
        <v>636</v>
      </c>
    </row>
    <row r="638" spans="1:8" ht="12.45" customHeight="1" x14ac:dyDescent="0.3">
      <c r="A638" s="2" t="s">
        <v>662</v>
      </c>
      <c r="B638" s="2">
        <v>53.5</v>
      </c>
      <c r="C638" s="2">
        <v>3.08</v>
      </c>
      <c r="D638" s="2">
        <v>165</v>
      </c>
      <c r="E638" s="6">
        <f>_xlfn.RANK.EQ(C638,C:C,0)</f>
        <v>637</v>
      </c>
      <c r="F638" s="6">
        <f>_xlfn.RANK.EQ(D638,D:D,0)</f>
        <v>628</v>
      </c>
      <c r="G638" s="2">
        <f>E638*0.7+F638*0.3</f>
        <v>634.29999999999995</v>
      </c>
      <c r="H638" s="7">
        <v>636</v>
      </c>
    </row>
    <row r="639" spans="1:8" ht="12.45" customHeight="1" x14ac:dyDescent="0.3">
      <c r="A639" s="2" t="s">
        <v>663</v>
      </c>
      <c r="B639" s="2">
        <v>46.5</v>
      </c>
      <c r="C639" s="2">
        <v>3.15</v>
      </c>
      <c r="D639" s="2">
        <v>157.30000000000001</v>
      </c>
      <c r="E639" s="6">
        <f>_xlfn.RANK.EQ(C639,C:C,0)</f>
        <v>630</v>
      </c>
      <c r="F639" s="6">
        <f>_xlfn.RANK.EQ(D639,D:D,0)</f>
        <v>646</v>
      </c>
      <c r="G639" s="2">
        <f>E639*0.7+F639*0.3</f>
        <v>634.79999999999995</v>
      </c>
      <c r="H639" s="7">
        <v>638</v>
      </c>
    </row>
    <row r="640" spans="1:8" ht="12.45" customHeight="1" x14ac:dyDescent="0.3">
      <c r="A640" s="2" t="s">
        <v>664</v>
      </c>
      <c r="B640" s="2">
        <v>55.5</v>
      </c>
      <c r="C640" s="2">
        <v>3.02</v>
      </c>
      <c r="D640" s="2">
        <v>167.85</v>
      </c>
      <c r="E640" s="6">
        <f>_xlfn.RANK.EQ(C640,C:C,0)</f>
        <v>642</v>
      </c>
      <c r="F640" s="6">
        <f>_xlfn.RANK.EQ(D640,D:D,0)</f>
        <v>622</v>
      </c>
      <c r="G640" s="2">
        <f>E640*0.7+F640*0.3</f>
        <v>636</v>
      </c>
      <c r="H640" s="7">
        <v>639</v>
      </c>
    </row>
    <row r="641" spans="1:8" ht="12.45" customHeight="1" x14ac:dyDescent="0.3">
      <c r="A641" s="2" t="s">
        <v>665</v>
      </c>
      <c r="B641" s="2">
        <v>51.5</v>
      </c>
      <c r="C641" s="2">
        <v>3.08</v>
      </c>
      <c r="D641" s="2">
        <v>158.85</v>
      </c>
      <c r="E641" s="6">
        <f>_xlfn.RANK.EQ(C641,C:C,0)</f>
        <v>637</v>
      </c>
      <c r="F641" s="6">
        <f>_xlfn.RANK.EQ(D641,D:D,0)</f>
        <v>643</v>
      </c>
      <c r="G641" s="2">
        <f>E641*0.7+F641*0.3</f>
        <v>638.79999999999995</v>
      </c>
      <c r="H641" s="7">
        <v>640</v>
      </c>
    </row>
    <row r="642" spans="1:8" ht="12.45" customHeight="1" x14ac:dyDescent="0.3">
      <c r="A642" s="2" t="s">
        <v>666</v>
      </c>
      <c r="B642" s="2">
        <v>54.5</v>
      </c>
      <c r="C642" s="2">
        <v>2.97</v>
      </c>
      <c r="D642" s="2">
        <v>166.35</v>
      </c>
      <c r="E642" s="6">
        <f>_xlfn.RANK.EQ(C642,C:C,0)</f>
        <v>645</v>
      </c>
      <c r="F642" s="6">
        <f>_xlfn.RANK.EQ(D642,D:D,0)</f>
        <v>626</v>
      </c>
      <c r="G642" s="2">
        <f>E642*0.7+F642*0.3</f>
        <v>639.29999999999995</v>
      </c>
      <c r="H642" s="7">
        <v>641</v>
      </c>
    </row>
    <row r="643" spans="1:8" ht="12.45" customHeight="1" x14ac:dyDescent="0.3">
      <c r="A643" s="2" t="s">
        <v>667</v>
      </c>
      <c r="B643" s="2">
        <v>37.5</v>
      </c>
      <c r="C643" s="2">
        <v>3.13</v>
      </c>
      <c r="D643" s="2">
        <v>148.80000000000001</v>
      </c>
      <c r="E643" s="6">
        <f>_xlfn.RANK.EQ(C643,C:C,0)</f>
        <v>632</v>
      </c>
      <c r="F643" s="6">
        <f>_xlfn.RANK.EQ(D643,D:D,0)</f>
        <v>659</v>
      </c>
      <c r="G643" s="2">
        <f>E643*0.7+F643*0.3</f>
        <v>640.09999999999991</v>
      </c>
      <c r="H643" s="7">
        <v>642</v>
      </c>
    </row>
    <row r="644" spans="1:8" ht="12.45" customHeight="1" x14ac:dyDescent="0.3">
      <c r="A644" s="2" t="s">
        <v>668</v>
      </c>
      <c r="B644" s="2">
        <v>42.5</v>
      </c>
      <c r="C644" s="2">
        <v>3.15</v>
      </c>
      <c r="D644" s="2">
        <v>146.4</v>
      </c>
      <c r="E644" s="6">
        <f>_xlfn.RANK.EQ(C644,C:C,0)</f>
        <v>630</v>
      </c>
      <c r="F644" s="6">
        <f>_xlfn.RANK.EQ(D644,D:D,0)</f>
        <v>664</v>
      </c>
      <c r="G644" s="2">
        <f>E644*0.7+F644*0.3</f>
        <v>640.20000000000005</v>
      </c>
      <c r="H644" s="7">
        <v>643</v>
      </c>
    </row>
    <row r="645" spans="1:8" ht="12.45" customHeight="1" x14ac:dyDescent="0.3">
      <c r="A645" s="2" t="s">
        <v>669</v>
      </c>
      <c r="B645" s="2">
        <v>50</v>
      </c>
      <c r="C645" s="2">
        <v>3.09</v>
      </c>
      <c r="D645" s="2">
        <v>154.55000000000001</v>
      </c>
      <c r="E645" s="6">
        <f>_xlfn.RANK.EQ(C645,C:C,0)</f>
        <v>636</v>
      </c>
      <c r="F645" s="6">
        <f>_xlfn.RANK.EQ(D645,D:D,0)</f>
        <v>654</v>
      </c>
      <c r="G645" s="2">
        <f>E645*0.7+F645*0.3</f>
        <v>641.4</v>
      </c>
      <c r="H645" s="7">
        <v>644</v>
      </c>
    </row>
    <row r="646" spans="1:8" ht="12.45" customHeight="1" x14ac:dyDescent="0.3">
      <c r="A646" s="2" t="s">
        <v>670</v>
      </c>
      <c r="B646" s="2">
        <v>46</v>
      </c>
      <c r="C646" s="2">
        <v>3.11</v>
      </c>
      <c r="D646" s="2">
        <v>145.94999999999999</v>
      </c>
      <c r="E646" s="6">
        <f>_xlfn.RANK.EQ(C646,C:C,0)</f>
        <v>633</v>
      </c>
      <c r="F646" s="6">
        <f>_xlfn.RANK.EQ(D646,D:D,0)</f>
        <v>665</v>
      </c>
      <c r="G646" s="2">
        <f>E646*0.7+F646*0.3</f>
        <v>642.59999999999991</v>
      </c>
      <c r="H646" s="7">
        <v>645</v>
      </c>
    </row>
    <row r="647" spans="1:8" ht="12.45" customHeight="1" x14ac:dyDescent="0.3">
      <c r="A647" s="2" t="s">
        <v>671</v>
      </c>
      <c r="B647" s="2">
        <v>49.5</v>
      </c>
      <c r="C647" s="2">
        <v>2.96</v>
      </c>
      <c r="D647" s="2">
        <v>161.4</v>
      </c>
      <c r="E647" s="6">
        <f>_xlfn.RANK.EQ(C647,C:C,0)</f>
        <v>646</v>
      </c>
      <c r="F647" s="6">
        <f>_xlfn.RANK.EQ(D647,D:D,0)</f>
        <v>637</v>
      </c>
      <c r="G647" s="2">
        <f>E647*0.7+F647*0.3</f>
        <v>643.29999999999995</v>
      </c>
      <c r="H647" s="7">
        <v>646</v>
      </c>
    </row>
    <row r="648" spans="1:8" ht="12.45" customHeight="1" x14ac:dyDescent="0.3">
      <c r="A648" s="2" t="s">
        <v>672</v>
      </c>
      <c r="B648" s="2">
        <v>42.5</v>
      </c>
      <c r="C648" s="2">
        <v>3.03</v>
      </c>
      <c r="D648" s="2">
        <v>155.85</v>
      </c>
      <c r="E648" s="6">
        <f>_xlfn.RANK.EQ(C648,C:C,0)</f>
        <v>641</v>
      </c>
      <c r="F648" s="6">
        <f>_xlfn.RANK.EQ(D648,D:D,0)</f>
        <v>650</v>
      </c>
      <c r="G648" s="2">
        <f>E648*0.7+F648*0.3</f>
        <v>643.70000000000005</v>
      </c>
      <c r="H648" s="7">
        <v>647</v>
      </c>
    </row>
    <row r="649" spans="1:8" ht="12.45" customHeight="1" x14ac:dyDescent="0.3">
      <c r="A649" s="2" t="s">
        <v>673</v>
      </c>
      <c r="B649" s="2">
        <v>54</v>
      </c>
      <c r="C649" s="2">
        <v>2.86</v>
      </c>
      <c r="D649" s="2">
        <v>168.45</v>
      </c>
      <c r="E649" s="6">
        <f>_xlfn.RANK.EQ(C649,C:C,0)</f>
        <v>656</v>
      </c>
      <c r="F649" s="6">
        <f>_xlfn.RANK.EQ(D649,D:D,0)</f>
        <v>618</v>
      </c>
      <c r="G649" s="2">
        <f>E649*0.7+F649*0.3</f>
        <v>644.6</v>
      </c>
      <c r="H649" s="7">
        <v>648</v>
      </c>
    </row>
    <row r="650" spans="1:8" ht="12.45" customHeight="1" x14ac:dyDescent="0.3">
      <c r="A650" s="2" t="s">
        <v>674</v>
      </c>
      <c r="B650" s="2">
        <v>43.5</v>
      </c>
      <c r="C650" s="2">
        <v>2.96</v>
      </c>
      <c r="D650" s="2">
        <v>155.4</v>
      </c>
      <c r="E650" s="6">
        <f>_xlfn.RANK.EQ(C650,C:C,0)</f>
        <v>646</v>
      </c>
      <c r="F650" s="6">
        <f>_xlfn.RANK.EQ(D650,D:D,0)</f>
        <v>651</v>
      </c>
      <c r="G650" s="2">
        <f>E650*0.7+F650*0.3</f>
        <v>647.5</v>
      </c>
      <c r="H650" s="7">
        <v>649</v>
      </c>
    </row>
    <row r="651" spans="1:8" ht="12.45" customHeight="1" x14ac:dyDescent="0.3">
      <c r="A651" s="2" t="s">
        <v>675</v>
      </c>
      <c r="B651" s="2">
        <v>51</v>
      </c>
      <c r="C651" s="2">
        <v>2.89</v>
      </c>
      <c r="D651" s="2">
        <v>159</v>
      </c>
      <c r="E651" s="6">
        <f>_xlfn.RANK.EQ(C651,C:C,0)</f>
        <v>652</v>
      </c>
      <c r="F651" s="6">
        <f>_xlfn.RANK.EQ(D651,D:D,0)</f>
        <v>642</v>
      </c>
      <c r="G651" s="2">
        <f>E651*0.7+F651*0.3</f>
        <v>649</v>
      </c>
      <c r="H651" s="7">
        <v>650</v>
      </c>
    </row>
    <row r="652" spans="1:8" ht="12.45" customHeight="1" x14ac:dyDescent="0.3">
      <c r="A652" s="2" t="s">
        <v>676</v>
      </c>
      <c r="B652" s="2">
        <v>50</v>
      </c>
      <c r="C652" s="2">
        <v>2.92</v>
      </c>
      <c r="D652" s="2">
        <v>157.5</v>
      </c>
      <c r="E652" s="6">
        <f>_xlfn.RANK.EQ(C652,C:C,0)</f>
        <v>651</v>
      </c>
      <c r="F652" s="6">
        <f>_xlfn.RANK.EQ(D652,D:D,0)</f>
        <v>645</v>
      </c>
      <c r="G652" s="2">
        <f>E652*0.7+F652*0.3</f>
        <v>649.20000000000005</v>
      </c>
      <c r="H652" s="7">
        <v>651</v>
      </c>
    </row>
    <row r="653" spans="1:8" ht="12.45" customHeight="1" x14ac:dyDescent="0.3">
      <c r="A653" s="2" t="s">
        <v>677</v>
      </c>
      <c r="B653" s="2">
        <v>48.5</v>
      </c>
      <c r="C653" s="2">
        <v>2.93</v>
      </c>
      <c r="D653" s="2">
        <v>156.75</v>
      </c>
      <c r="E653" s="6">
        <f>_xlfn.RANK.EQ(C653,C:C,0)</f>
        <v>650</v>
      </c>
      <c r="F653" s="6">
        <f>_xlfn.RANK.EQ(D653,D:D,0)</f>
        <v>648</v>
      </c>
      <c r="G653" s="2">
        <f>E653*0.7+F653*0.3</f>
        <v>649.4</v>
      </c>
      <c r="H653" s="7">
        <v>652</v>
      </c>
    </row>
    <row r="654" spans="1:8" ht="12.45" customHeight="1" x14ac:dyDescent="0.3">
      <c r="A654" s="2" t="s">
        <v>678</v>
      </c>
      <c r="B654" s="2">
        <v>44.5</v>
      </c>
      <c r="C654" s="2">
        <v>2.98</v>
      </c>
      <c r="D654" s="2">
        <v>147.4</v>
      </c>
      <c r="E654" s="6">
        <f>_xlfn.RANK.EQ(C654,C:C,0)</f>
        <v>644</v>
      </c>
      <c r="F654" s="6">
        <f>_xlfn.RANK.EQ(D654,D:D,0)</f>
        <v>662</v>
      </c>
      <c r="G654" s="2">
        <f>E654*0.7+F654*0.3</f>
        <v>649.4</v>
      </c>
      <c r="H654" s="7">
        <v>652</v>
      </c>
    </row>
    <row r="655" spans="1:8" ht="12.45" customHeight="1" x14ac:dyDescent="0.3">
      <c r="A655" s="2" t="s">
        <v>679</v>
      </c>
      <c r="B655" s="2">
        <v>52</v>
      </c>
      <c r="C655" s="2">
        <v>2.87</v>
      </c>
      <c r="D655" s="2">
        <v>160.94999999999999</v>
      </c>
      <c r="E655" s="6">
        <f>_xlfn.RANK.EQ(C655,C:C,0)</f>
        <v>655</v>
      </c>
      <c r="F655" s="6">
        <f>_xlfn.RANK.EQ(D655,D:D,0)</f>
        <v>638</v>
      </c>
      <c r="G655" s="2">
        <f>E655*0.7+F655*0.3</f>
        <v>649.9</v>
      </c>
      <c r="H655" s="7">
        <v>654</v>
      </c>
    </row>
    <row r="656" spans="1:8" ht="12.45" customHeight="1" x14ac:dyDescent="0.3">
      <c r="A656" s="2" t="s">
        <v>680</v>
      </c>
      <c r="B656" s="2">
        <v>48</v>
      </c>
      <c r="C656" s="2">
        <v>2.84</v>
      </c>
      <c r="D656" s="2">
        <v>162.15</v>
      </c>
      <c r="E656" s="6">
        <f>_xlfn.RANK.EQ(C656,C:C,0)</f>
        <v>658</v>
      </c>
      <c r="F656" s="6">
        <f>_xlfn.RANK.EQ(D656,D:D,0)</f>
        <v>634</v>
      </c>
      <c r="G656" s="2">
        <f>E656*0.7+F656*0.3</f>
        <v>650.79999999999995</v>
      </c>
      <c r="H656" s="7">
        <v>655</v>
      </c>
    </row>
    <row r="657" spans="1:8" ht="12.45" customHeight="1" x14ac:dyDescent="0.3">
      <c r="A657" s="2" t="s">
        <v>681</v>
      </c>
      <c r="B657" s="2">
        <v>52</v>
      </c>
      <c r="C657" s="2">
        <v>2.89</v>
      </c>
      <c r="D657" s="2">
        <v>154.35</v>
      </c>
      <c r="E657" s="6">
        <f>_xlfn.RANK.EQ(C657,C:C,0)</f>
        <v>652</v>
      </c>
      <c r="F657" s="6">
        <f>_xlfn.RANK.EQ(D657,D:D,0)</f>
        <v>655</v>
      </c>
      <c r="G657" s="2">
        <f>E657*0.7+F657*0.3</f>
        <v>652.9</v>
      </c>
      <c r="H657" s="7">
        <v>656</v>
      </c>
    </row>
    <row r="658" spans="1:8" ht="12.45" customHeight="1" x14ac:dyDescent="0.3">
      <c r="A658" s="2" t="s">
        <v>682</v>
      </c>
      <c r="B658" s="2">
        <v>48</v>
      </c>
      <c r="C658" s="2">
        <v>2.86</v>
      </c>
      <c r="D658" s="2">
        <v>157.1</v>
      </c>
      <c r="E658" s="6">
        <f>_xlfn.RANK.EQ(C658,C:C,0)</f>
        <v>656</v>
      </c>
      <c r="F658" s="6">
        <f>_xlfn.RANK.EQ(D658,D:D,0)</f>
        <v>647</v>
      </c>
      <c r="G658" s="2">
        <f>E658*0.7+F658*0.3</f>
        <v>653.29999999999995</v>
      </c>
      <c r="H658" s="7">
        <v>657</v>
      </c>
    </row>
    <row r="659" spans="1:8" ht="12.45" customHeight="1" x14ac:dyDescent="0.3">
      <c r="A659" s="2" t="s">
        <v>683</v>
      </c>
      <c r="B659" s="2">
        <v>49</v>
      </c>
      <c r="C659" s="2">
        <v>2.88</v>
      </c>
      <c r="D659" s="2">
        <v>155.30000000000001</v>
      </c>
      <c r="E659" s="6">
        <f>_xlfn.RANK.EQ(C659,C:C,0)</f>
        <v>654</v>
      </c>
      <c r="F659" s="6">
        <f>_xlfn.RANK.EQ(D659,D:D,0)</f>
        <v>652</v>
      </c>
      <c r="G659" s="2">
        <f>E659*0.7+F659*0.3</f>
        <v>653.4</v>
      </c>
      <c r="H659" s="7">
        <v>658</v>
      </c>
    </row>
    <row r="660" spans="1:8" ht="12.45" customHeight="1" x14ac:dyDescent="0.3">
      <c r="A660" s="2" t="s">
        <v>684</v>
      </c>
      <c r="B660" s="2">
        <v>50</v>
      </c>
      <c r="C660" s="2">
        <v>2.82</v>
      </c>
      <c r="D660" s="2">
        <v>160.5</v>
      </c>
      <c r="E660" s="6">
        <f>_xlfn.RANK.EQ(C660,C:C,0)</f>
        <v>660</v>
      </c>
      <c r="F660" s="6">
        <f>_xlfn.RANK.EQ(D660,D:D,0)</f>
        <v>639</v>
      </c>
      <c r="G660" s="2">
        <f>E660*0.7+F660*0.3</f>
        <v>653.69999999999993</v>
      </c>
      <c r="H660" s="7">
        <v>659</v>
      </c>
    </row>
    <row r="661" spans="1:8" ht="12.45" customHeight="1" x14ac:dyDescent="0.3">
      <c r="A661" s="2" t="s">
        <v>685</v>
      </c>
      <c r="B661" s="2">
        <v>50.5</v>
      </c>
      <c r="C661" s="2">
        <v>2.82</v>
      </c>
      <c r="D661" s="2">
        <v>156.6</v>
      </c>
      <c r="E661" s="6">
        <f>_xlfn.RANK.EQ(C661,C:C,0)</f>
        <v>660</v>
      </c>
      <c r="F661" s="6">
        <f>_xlfn.RANK.EQ(D661,D:D,0)</f>
        <v>649</v>
      </c>
      <c r="G661" s="2">
        <f>E661*0.7+F661*0.3</f>
        <v>656.69999999999993</v>
      </c>
      <c r="H661" s="7">
        <v>660</v>
      </c>
    </row>
    <row r="662" spans="1:8" ht="12.45" customHeight="1" x14ac:dyDescent="0.3">
      <c r="A662" s="2" t="s">
        <v>686</v>
      </c>
      <c r="B662" s="2">
        <v>48.5</v>
      </c>
      <c r="C662" s="2">
        <v>2.84</v>
      </c>
      <c r="D662" s="2">
        <v>149.25</v>
      </c>
      <c r="E662" s="6">
        <f>_xlfn.RANK.EQ(C662,C:C,0)</f>
        <v>658</v>
      </c>
      <c r="F662" s="6">
        <f>_xlfn.RANK.EQ(D662,D:D,0)</f>
        <v>658</v>
      </c>
      <c r="G662" s="2">
        <f>E662*0.7+F662*0.3</f>
        <v>658</v>
      </c>
      <c r="H662" s="7">
        <v>661</v>
      </c>
    </row>
    <row r="663" spans="1:8" ht="12.45" customHeight="1" x14ac:dyDescent="0.3">
      <c r="A663" s="2" t="s">
        <v>687</v>
      </c>
      <c r="B663" s="2">
        <v>51.5</v>
      </c>
      <c r="C663" s="2">
        <v>2.8</v>
      </c>
      <c r="D663" s="2">
        <v>155.25</v>
      </c>
      <c r="E663" s="6">
        <f>_xlfn.RANK.EQ(C663,C:C,0)</f>
        <v>663</v>
      </c>
      <c r="F663" s="6">
        <f>_xlfn.RANK.EQ(D663,D:D,0)</f>
        <v>653</v>
      </c>
      <c r="G663" s="2">
        <f>E663*0.7+F663*0.3</f>
        <v>660</v>
      </c>
      <c r="H663" s="7">
        <v>662</v>
      </c>
    </row>
    <row r="664" spans="1:8" ht="12.45" customHeight="1" x14ac:dyDescent="0.3">
      <c r="A664" s="2" t="s">
        <v>688</v>
      </c>
      <c r="B664" s="2">
        <v>50.5</v>
      </c>
      <c r="C664" s="2">
        <v>2.82</v>
      </c>
      <c r="D664" s="2">
        <v>146.69999999999999</v>
      </c>
      <c r="E664" s="6">
        <f>_xlfn.RANK.EQ(C664,C:C,0)</f>
        <v>660</v>
      </c>
      <c r="F664" s="6">
        <f>_xlfn.RANK.EQ(D664,D:D,0)</f>
        <v>663</v>
      </c>
      <c r="G664" s="2">
        <f>E664*0.7+F664*0.3</f>
        <v>660.9</v>
      </c>
      <c r="H664" s="7">
        <v>663</v>
      </c>
    </row>
    <row r="665" spans="1:8" ht="12.45" customHeight="1" x14ac:dyDescent="0.3">
      <c r="A665" s="2" t="s">
        <v>689</v>
      </c>
      <c r="B665" s="2">
        <v>49</v>
      </c>
      <c r="C665" s="2">
        <v>2.75</v>
      </c>
      <c r="D665" s="2">
        <v>148.44999999999999</v>
      </c>
      <c r="E665" s="6">
        <f>_xlfn.RANK.EQ(C665,C:C,0)</f>
        <v>664</v>
      </c>
      <c r="F665" s="6">
        <f>_xlfn.RANK.EQ(D665,D:D,0)</f>
        <v>660</v>
      </c>
      <c r="G665" s="2">
        <f>E665*0.7+F665*0.3</f>
        <v>662.8</v>
      </c>
      <c r="H665" s="7">
        <v>664</v>
      </c>
    </row>
    <row r="666" spans="1:8" ht="12.45" customHeight="1" x14ac:dyDescent="0.3">
      <c r="A666" s="2" t="s">
        <v>690</v>
      </c>
      <c r="B666" s="2">
        <v>47.5</v>
      </c>
      <c r="C666" s="2">
        <v>2.73</v>
      </c>
      <c r="D666" s="2">
        <v>140.69999999999999</v>
      </c>
      <c r="E666" s="6">
        <f>_xlfn.RANK.EQ(C666,C:C,0)</f>
        <v>665</v>
      </c>
      <c r="F666" s="6">
        <f>_xlfn.RANK.EQ(D666,D:D,0)</f>
        <v>669</v>
      </c>
      <c r="G666" s="2">
        <f>E666*0.7+F666*0.3</f>
        <v>666.19999999999993</v>
      </c>
      <c r="H666" s="7">
        <v>665</v>
      </c>
    </row>
    <row r="667" spans="1:8" ht="12.45" customHeight="1" x14ac:dyDescent="0.3">
      <c r="A667" s="2" t="s">
        <v>691</v>
      </c>
      <c r="B667" s="2">
        <v>48.5</v>
      </c>
      <c r="C667" s="2">
        <v>2.72</v>
      </c>
      <c r="D667" s="2">
        <v>145.4</v>
      </c>
      <c r="E667" s="6">
        <f>_xlfn.RANK.EQ(C667,C:C,0)</f>
        <v>667</v>
      </c>
      <c r="F667" s="6">
        <f>_xlfn.RANK.EQ(D667,D:D,0)</f>
        <v>666</v>
      </c>
      <c r="G667" s="2">
        <f>E667*0.7+F667*0.3</f>
        <v>666.69999999999993</v>
      </c>
      <c r="H667" s="7">
        <v>666</v>
      </c>
    </row>
    <row r="668" spans="1:8" ht="12.45" customHeight="1" x14ac:dyDescent="0.3">
      <c r="A668" s="2" t="s">
        <v>692</v>
      </c>
      <c r="B668" s="2">
        <v>49.5</v>
      </c>
      <c r="C668" s="2">
        <v>2.66</v>
      </c>
      <c r="D668" s="2">
        <v>150.44999999999999</v>
      </c>
      <c r="E668" s="6">
        <f>_xlfn.RANK.EQ(C668,C:C,0)</f>
        <v>671</v>
      </c>
      <c r="F668" s="6">
        <f>_xlfn.RANK.EQ(D668,D:D,0)</f>
        <v>657</v>
      </c>
      <c r="G668" s="2">
        <f>E668*0.7+F668*0.3</f>
        <v>666.8</v>
      </c>
      <c r="H668" s="7">
        <v>667</v>
      </c>
    </row>
    <row r="669" spans="1:8" ht="12.45" customHeight="1" x14ac:dyDescent="0.3">
      <c r="A669" s="2" t="s">
        <v>693</v>
      </c>
      <c r="B669" s="2">
        <v>45.5</v>
      </c>
      <c r="C669" s="2">
        <v>2.73</v>
      </c>
      <c r="D669" s="2">
        <v>138</v>
      </c>
      <c r="E669" s="6">
        <f>_xlfn.RANK.EQ(C669,C:C,0)</f>
        <v>665</v>
      </c>
      <c r="F669" s="6">
        <f>_xlfn.RANK.EQ(D669,D:D,0)</f>
        <v>672</v>
      </c>
      <c r="G669" s="2">
        <f>E669*0.7+F669*0.3</f>
        <v>667.09999999999991</v>
      </c>
      <c r="H669" s="7">
        <v>668</v>
      </c>
    </row>
    <row r="670" spans="1:8" ht="12.45" customHeight="1" x14ac:dyDescent="0.3">
      <c r="A670" s="2" t="s">
        <v>694</v>
      </c>
      <c r="B670" s="2">
        <v>51</v>
      </c>
      <c r="C670" s="2">
        <v>2.68</v>
      </c>
      <c r="D670" s="2">
        <v>147.44999999999999</v>
      </c>
      <c r="E670" s="6">
        <f>_xlfn.RANK.EQ(C670,C:C,0)</f>
        <v>670</v>
      </c>
      <c r="F670" s="6">
        <f>_xlfn.RANK.EQ(D670,D:D,0)</f>
        <v>661</v>
      </c>
      <c r="G670" s="2">
        <f>E670*0.7+F670*0.3</f>
        <v>667.3</v>
      </c>
      <c r="H670" s="7">
        <v>669</v>
      </c>
    </row>
    <row r="671" spans="1:8" ht="12.45" customHeight="1" x14ac:dyDescent="0.3">
      <c r="A671" s="2" t="s">
        <v>695</v>
      </c>
      <c r="B671" s="2">
        <v>49</v>
      </c>
      <c r="C671" s="2">
        <v>2.71</v>
      </c>
      <c r="D671" s="2">
        <v>143.4</v>
      </c>
      <c r="E671" s="6">
        <f>_xlfn.RANK.EQ(C671,C:C,0)</f>
        <v>668</v>
      </c>
      <c r="F671" s="6">
        <f>_xlfn.RANK.EQ(D671,D:D,0)</f>
        <v>667</v>
      </c>
      <c r="G671" s="2">
        <f>E671*0.7+F671*0.3</f>
        <v>667.69999999999993</v>
      </c>
      <c r="H671" s="7">
        <v>670</v>
      </c>
    </row>
    <row r="672" spans="1:8" ht="12.45" customHeight="1" x14ac:dyDescent="0.3">
      <c r="A672" s="2" t="s">
        <v>696</v>
      </c>
      <c r="B672" s="2">
        <v>44.5</v>
      </c>
      <c r="C672" s="2">
        <v>2.69</v>
      </c>
      <c r="D672" s="2">
        <v>136.94999999999999</v>
      </c>
      <c r="E672" s="6">
        <f>_xlfn.RANK.EQ(C672,C:C,0)</f>
        <v>669</v>
      </c>
      <c r="F672" s="6">
        <f>_xlfn.RANK.EQ(D672,D:D,0)</f>
        <v>674</v>
      </c>
      <c r="G672" s="2">
        <f>E672*0.7+F672*0.3</f>
        <v>670.5</v>
      </c>
      <c r="H672" s="7">
        <v>671</v>
      </c>
    </row>
    <row r="673" spans="1:8" ht="12.45" customHeight="1" x14ac:dyDescent="0.3">
      <c r="A673" s="2" t="s">
        <v>697</v>
      </c>
      <c r="B673" s="2">
        <v>44</v>
      </c>
      <c r="C673" s="2">
        <v>2.62</v>
      </c>
      <c r="D673" s="2">
        <v>142.94999999999999</v>
      </c>
      <c r="E673" s="6">
        <f>_xlfn.RANK.EQ(C673,C:C,0)</f>
        <v>675</v>
      </c>
      <c r="F673" s="6">
        <f>_xlfn.RANK.EQ(D673,D:D,0)</f>
        <v>668</v>
      </c>
      <c r="G673" s="2">
        <f>E673*0.7+F673*0.3</f>
        <v>672.9</v>
      </c>
      <c r="H673" s="7">
        <v>672</v>
      </c>
    </row>
    <row r="674" spans="1:8" ht="12.45" customHeight="1" x14ac:dyDescent="0.3">
      <c r="A674" s="2" t="s">
        <v>698</v>
      </c>
      <c r="B674" s="2">
        <v>47.5</v>
      </c>
      <c r="C674" s="2">
        <v>2.63</v>
      </c>
      <c r="D674" s="2">
        <v>136.5</v>
      </c>
      <c r="E674" s="6">
        <f>_xlfn.RANK.EQ(C674,C:C,0)</f>
        <v>673</v>
      </c>
      <c r="F674" s="6">
        <f>_xlfn.RANK.EQ(D674,D:D,0)</f>
        <v>676</v>
      </c>
      <c r="G674" s="2">
        <f>E674*0.7+F674*0.3</f>
        <v>673.9</v>
      </c>
      <c r="H674" s="7">
        <v>673</v>
      </c>
    </row>
    <row r="675" spans="1:8" ht="12.45" customHeight="1" x14ac:dyDescent="0.3">
      <c r="A675" s="2" t="s">
        <v>699</v>
      </c>
      <c r="B675" s="2">
        <v>44</v>
      </c>
      <c r="C675" s="2">
        <v>2.63</v>
      </c>
      <c r="D675" s="2">
        <v>135.44999999999999</v>
      </c>
      <c r="E675" s="6">
        <f>_xlfn.RANK.EQ(C675,C:C,0)</f>
        <v>673</v>
      </c>
      <c r="F675" s="6">
        <f>_xlfn.RANK.EQ(D675,D:D,0)</f>
        <v>677</v>
      </c>
      <c r="G675" s="2">
        <f>E675*0.7+F675*0.3</f>
        <v>674.19999999999993</v>
      </c>
      <c r="H675" s="7">
        <v>674</v>
      </c>
    </row>
    <row r="676" spans="1:8" ht="12.45" customHeight="1" x14ac:dyDescent="0.3">
      <c r="A676" s="2" t="s">
        <v>700</v>
      </c>
      <c r="B676" s="2">
        <v>50</v>
      </c>
      <c r="C676" s="2">
        <v>2.56</v>
      </c>
      <c r="D676" s="2">
        <v>140.55000000000001</v>
      </c>
      <c r="E676" s="6">
        <f>_xlfn.RANK.EQ(C676,C:C,0)</f>
        <v>676</v>
      </c>
      <c r="F676" s="6">
        <f>_xlfn.RANK.EQ(D676,D:D,0)</f>
        <v>670</v>
      </c>
      <c r="G676" s="2">
        <f>E676*0.7+F676*0.3</f>
        <v>674.2</v>
      </c>
      <c r="H676" s="7">
        <v>674</v>
      </c>
    </row>
    <row r="677" spans="1:8" ht="12.45" customHeight="1" x14ac:dyDescent="0.3">
      <c r="A677" s="2" t="s">
        <v>701</v>
      </c>
      <c r="B677" s="2">
        <v>39</v>
      </c>
      <c r="C677" s="2">
        <v>2.65</v>
      </c>
      <c r="D677" s="2">
        <v>130.05000000000001</v>
      </c>
      <c r="E677" s="6">
        <f>_xlfn.RANK.EQ(C677,C:C,0)</f>
        <v>672</v>
      </c>
      <c r="F677" s="6">
        <f>_xlfn.RANK.EQ(D677,D:D,0)</f>
        <v>680</v>
      </c>
      <c r="G677" s="2">
        <f>E677*0.7+F677*0.3</f>
        <v>674.4</v>
      </c>
      <c r="H677" s="7">
        <v>676</v>
      </c>
    </row>
    <row r="678" spans="1:8" ht="12.45" customHeight="1" x14ac:dyDescent="0.3">
      <c r="A678" s="2" t="s">
        <v>702</v>
      </c>
      <c r="B678" s="2">
        <v>51</v>
      </c>
      <c r="C678" s="2">
        <v>2.5</v>
      </c>
      <c r="D678" s="2">
        <v>137.25</v>
      </c>
      <c r="E678" s="6">
        <f>_xlfn.RANK.EQ(C678,C:C,0)</f>
        <v>677</v>
      </c>
      <c r="F678" s="6">
        <f>_xlfn.RANK.EQ(D678,D:D,0)</f>
        <v>673</v>
      </c>
      <c r="G678" s="2">
        <f>E678*0.7+F678*0.3</f>
        <v>675.8</v>
      </c>
      <c r="H678" s="7">
        <v>677</v>
      </c>
    </row>
    <row r="679" spans="1:8" ht="12.45" customHeight="1" x14ac:dyDescent="0.3">
      <c r="A679" s="2" t="s">
        <v>703</v>
      </c>
      <c r="B679" s="2">
        <v>50.5</v>
      </c>
      <c r="C679" s="2">
        <v>2.5</v>
      </c>
      <c r="D679" s="2">
        <v>131.4</v>
      </c>
      <c r="E679" s="6">
        <f>_xlfn.RANK.EQ(C679,C:C,0)</f>
        <v>677</v>
      </c>
      <c r="F679" s="6">
        <f>_xlfn.RANK.EQ(D679,D:D,0)</f>
        <v>679</v>
      </c>
      <c r="G679" s="2">
        <f>E679*0.7+F679*0.3</f>
        <v>677.59999999999991</v>
      </c>
      <c r="H679" s="7">
        <v>678</v>
      </c>
    </row>
    <row r="680" spans="1:8" ht="12.45" customHeight="1" x14ac:dyDescent="0.3">
      <c r="A680" s="2" t="s">
        <v>704</v>
      </c>
      <c r="B680" s="2">
        <v>52</v>
      </c>
      <c r="C680" s="2">
        <v>2.42</v>
      </c>
      <c r="D680" s="2">
        <v>138.9</v>
      </c>
      <c r="E680" s="6">
        <f>_xlfn.RANK.EQ(C680,C:C,0)</f>
        <v>681</v>
      </c>
      <c r="F680" s="6">
        <f>_xlfn.RANK.EQ(D680,D:D,0)</f>
        <v>671</v>
      </c>
      <c r="G680" s="2">
        <f>E680*0.7+F680*0.3</f>
        <v>678</v>
      </c>
      <c r="H680" s="7">
        <v>679</v>
      </c>
    </row>
    <row r="681" spans="1:8" ht="12.45" customHeight="1" x14ac:dyDescent="0.3">
      <c r="A681" s="2" t="s">
        <v>705</v>
      </c>
      <c r="B681" s="2">
        <v>45</v>
      </c>
      <c r="C681" s="2">
        <v>2.4</v>
      </c>
      <c r="D681" s="2">
        <v>136.69999999999999</v>
      </c>
      <c r="E681" s="6">
        <f>_xlfn.RANK.EQ(C681,C:C,0)</f>
        <v>682</v>
      </c>
      <c r="F681" s="6">
        <f>_xlfn.RANK.EQ(D681,D:D,0)</f>
        <v>675</v>
      </c>
      <c r="G681" s="2">
        <f>E681*0.7+F681*0.3</f>
        <v>679.9</v>
      </c>
      <c r="H681" s="7">
        <v>680</v>
      </c>
    </row>
    <row r="682" spans="1:8" ht="12.45" customHeight="1" x14ac:dyDescent="0.3">
      <c r="A682" s="2" t="s">
        <v>706</v>
      </c>
      <c r="B682" s="2">
        <v>46</v>
      </c>
      <c r="C682" s="2">
        <v>2.44</v>
      </c>
      <c r="D682" s="2">
        <v>125.85</v>
      </c>
      <c r="E682" s="6">
        <f>_xlfn.RANK.EQ(C682,C:C,0)</f>
        <v>680</v>
      </c>
      <c r="F682" s="6">
        <f>_xlfn.RANK.EQ(D682,D:D,0)</f>
        <v>681</v>
      </c>
      <c r="G682" s="2">
        <f>E682*0.7+F682*0.3</f>
        <v>680.3</v>
      </c>
      <c r="H682" s="7">
        <v>681</v>
      </c>
    </row>
    <row r="683" spans="1:8" ht="12.45" customHeight="1" x14ac:dyDescent="0.3">
      <c r="A683" s="2" t="s">
        <v>707</v>
      </c>
      <c r="B683" s="2">
        <v>34</v>
      </c>
      <c r="C683" s="2">
        <v>2.4900000000000002</v>
      </c>
      <c r="D683" s="2">
        <v>104.7</v>
      </c>
      <c r="E683" s="6">
        <f>_xlfn.RANK.EQ(C683,C:C,0)</f>
        <v>679</v>
      </c>
      <c r="F683" s="6">
        <f>_xlfn.RANK.EQ(D683,D:D,0)</f>
        <v>691</v>
      </c>
      <c r="G683" s="2">
        <f>E683*0.7+F683*0.3</f>
        <v>682.59999999999991</v>
      </c>
      <c r="H683" s="7">
        <v>682</v>
      </c>
    </row>
    <row r="684" spans="1:8" ht="12.45" customHeight="1" x14ac:dyDescent="0.3">
      <c r="A684" s="2" t="s">
        <v>708</v>
      </c>
      <c r="B684" s="2">
        <v>48</v>
      </c>
      <c r="C684" s="2">
        <v>2.39</v>
      </c>
      <c r="D684" s="2">
        <v>120.75</v>
      </c>
      <c r="E684" s="6">
        <f>_xlfn.RANK.EQ(C684,C:C,0)</f>
        <v>683</v>
      </c>
      <c r="F684" s="6">
        <f>_xlfn.RANK.EQ(D684,D:D,0)</f>
        <v>683</v>
      </c>
      <c r="G684" s="2">
        <f>E684*0.7+F684*0.3</f>
        <v>683</v>
      </c>
      <c r="H684" s="7">
        <v>683</v>
      </c>
    </row>
    <row r="685" spans="1:8" ht="12.45" customHeight="1" x14ac:dyDescent="0.3">
      <c r="A685" s="2" t="s">
        <v>709</v>
      </c>
      <c r="B685" s="2">
        <v>44.5</v>
      </c>
      <c r="C685" s="2">
        <v>2.2799999999999998</v>
      </c>
      <c r="D685" s="2">
        <v>131.69999999999999</v>
      </c>
      <c r="E685" s="6">
        <f>_xlfn.RANK.EQ(C685,C:C,0)</f>
        <v>688</v>
      </c>
      <c r="F685" s="6">
        <f>_xlfn.RANK.EQ(D685,D:D,0)</f>
        <v>678</v>
      </c>
      <c r="G685" s="2">
        <f>E685*0.7+F685*0.3</f>
        <v>685</v>
      </c>
      <c r="H685" s="7">
        <v>684</v>
      </c>
    </row>
    <row r="686" spans="1:8" ht="12.45" customHeight="1" x14ac:dyDescent="0.3">
      <c r="A686" s="2" t="s">
        <v>710</v>
      </c>
      <c r="B686" s="2">
        <v>33.5</v>
      </c>
      <c r="C686" s="2">
        <v>2.35</v>
      </c>
      <c r="D686" s="2">
        <v>109.2</v>
      </c>
      <c r="E686" s="6">
        <f>_xlfn.RANK.EQ(C686,C:C,0)</f>
        <v>684</v>
      </c>
      <c r="F686" s="6">
        <f>_xlfn.RANK.EQ(D686,D:D,0)</f>
        <v>688</v>
      </c>
      <c r="G686" s="2">
        <f>E686*0.7+F686*0.3</f>
        <v>685.19999999999993</v>
      </c>
      <c r="H686" s="7">
        <v>685</v>
      </c>
    </row>
    <row r="687" spans="1:8" ht="12.45" customHeight="1" x14ac:dyDescent="0.3">
      <c r="A687" s="2" t="s">
        <v>711</v>
      </c>
      <c r="B687" s="2">
        <v>44</v>
      </c>
      <c r="C687" s="2">
        <v>2.31</v>
      </c>
      <c r="D687" s="2">
        <v>120.3</v>
      </c>
      <c r="E687" s="6">
        <f>_xlfn.RANK.EQ(C687,C:C,0)</f>
        <v>686</v>
      </c>
      <c r="F687" s="6">
        <f>_xlfn.RANK.EQ(D687,D:D,0)</f>
        <v>684</v>
      </c>
      <c r="G687" s="2">
        <f>E687*0.7+F687*0.3</f>
        <v>685.4</v>
      </c>
      <c r="H687" s="7">
        <v>686</v>
      </c>
    </row>
    <row r="688" spans="1:8" ht="12.45" customHeight="1" x14ac:dyDescent="0.3">
      <c r="A688" s="2" t="s">
        <v>712</v>
      </c>
      <c r="B688" s="2">
        <v>34.5</v>
      </c>
      <c r="C688" s="2">
        <v>2.3199999999999998</v>
      </c>
      <c r="D688" s="2">
        <v>109.05</v>
      </c>
      <c r="E688" s="6">
        <f>_xlfn.RANK.EQ(C688,C:C,0)</f>
        <v>685</v>
      </c>
      <c r="F688" s="6">
        <f>_xlfn.RANK.EQ(D688,D:D,0)</f>
        <v>689</v>
      </c>
      <c r="G688" s="2">
        <f>E688*0.7+F688*0.3</f>
        <v>686.19999999999993</v>
      </c>
      <c r="H688" s="7">
        <v>687</v>
      </c>
    </row>
    <row r="689" spans="1:8" ht="12.45" customHeight="1" x14ac:dyDescent="0.3">
      <c r="A689" s="2" t="s">
        <v>713</v>
      </c>
      <c r="B689" s="2">
        <v>35</v>
      </c>
      <c r="C689" s="2">
        <v>2.31</v>
      </c>
      <c r="D689" s="2">
        <v>109.65</v>
      </c>
      <c r="E689" s="6">
        <f>_xlfn.RANK.EQ(C689,C:C,0)</f>
        <v>686</v>
      </c>
      <c r="F689" s="6">
        <f>_xlfn.RANK.EQ(D689,D:D,0)</f>
        <v>687</v>
      </c>
      <c r="G689" s="2">
        <f>E689*0.7+F689*0.3</f>
        <v>686.3</v>
      </c>
      <c r="H689" s="7">
        <v>688</v>
      </c>
    </row>
    <row r="690" spans="1:8" ht="12.45" customHeight="1" x14ac:dyDescent="0.3">
      <c r="A690" s="2" t="s">
        <v>714</v>
      </c>
      <c r="B690" s="2">
        <v>41</v>
      </c>
      <c r="C690" s="2">
        <v>2.15</v>
      </c>
      <c r="D690" s="2">
        <v>117</v>
      </c>
      <c r="E690" s="6">
        <f>_xlfn.RANK.EQ(C690,C:C,0)</f>
        <v>690</v>
      </c>
      <c r="F690" s="6">
        <f>_xlfn.RANK.EQ(D690,D:D,0)</f>
        <v>685</v>
      </c>
      <c r="G690" s="2">
        <f>E690*0.7+F690*0.3</f>
        <v>688.5</v>
      </c>
      <c r="H690" s="7">
        <v>689</v>
      </c>
    </row>
    <row r="691" spans="1:8" ht="12.45" customHeight="1" x14ac:dyDescent="0.3">
      <c r="A691" s="2" t="s">
        <v>715</v>
      </c>
      <c r="B691" s="2">
        <v>37</v>
      </c>
      <c r="C691" s="2">
        <v>2.21</v>
      </c>
      <c r="D691" s="2">
        <v>100.65</v>
      </c>
      <c r="E691" s="6">
        <f>_xlfn.RANK.EQ(C691,C:C,0)</f>
        <v>689</v>
      </c>
      <c r="F691" s="6">
        <f>_xlfn.RANK.EQ(D691,D:D,0)</f>
        <v>693</v>
      </c>
      <c r="G691" s="2">
        <f>E691*0.7+F691*0.3</f>
        <v>690.19999999999993</v>
      </c>
      <c r="H691" s="7">
        <v>690</v>
      </c>
    </row>
    <row r="692" spans="1:8" ht="12.45" customHeight="1" x14ac:dyDescent="0.3">
      <c r="A692" s="2" t="s">
        <v>716</v>
      </c>
      <c r="B692" s="2">
        <v>40</v>
      </c>
      <c r="C692" s="2">
        <v>2.08</v>
      </c>
      <c r="D692" s="2">
        <v>115.65</v>
      </c>
      <c r="E692" s="6">
        <f>_xlfn.RANK.EQ(C692,C:C,0)</f>
        <v>692</v>
      </c>
      <c r="F692" s="6">
        <f>_xlfn.RANK.EQ(D692,D:D,0)</f>
        <v>686</v>
      </c>
      <c r="G692" s="2">
        <f>E692*0.7+F692*0.3</f>
        <v>690.19999999999993</v>
      </c>
      <c r="H692" s="7">
        <v>690</v>
      </c>
    </row>
    <row r="693" spans="1:8" ht="12.45" customHeight="1" x14ac:dyDescent="0.3">
      <c r="A693" s="2" t="s">
        <v>717</v>
      </c>
      <c r="B693" s="2">
        <v>32</v>
      </c>
      <c r="C693" s="2">
        <v>2.1</v>
      </c>
      <c r="D693" s="2">
        <v>106.05</v>
      </c>
      <c r="E693" s="6">
        <f>_xlfn.RANK.EQ(C693,C:C,0)</f>
        <v>691</v>
      </c>
      <c r="F693" s="6">
        <f>_xlfn.RANK.EQ(D693,D:D,0)</f>
        <v>690</v>
      </c>
      <c r="G693" s="2">
        <f>E693*0.7+F693*0.3</f>
        <v>690.7</v>
      </c>
      <c r="H693" s="7">
        <v>692</v>
      </c>
    </row>
    <row r="694" spans="1:8" ht="12.45" customHeight="1" x14ac:dyDescent="0.3">
      <c r="A694" s="2" t="s">
        <v>718</v>
      </c>
      <c r="B694" s="2">
        <v>27.5</v>
      </c>
      <c r="C694" s="2">
        <v>2.0099999999999998</v>
      </c>
      <c r="D694" s="2">
        <v>96.3</v>
      </c>
      <c r="E694" s="6">
        <f>_xlfn.RANK.EQ(C694,C:C,0)</f>
        <v>693</v>
      </c>
      <c r="F694" s="6">
        <f>_xlfn.RANK.EQ(D694,D:D,0)</f>
        <v>694</v>
      </c>
      <c r="G694" s="2">
        <f>E694*0.7+F694*0.3</f>
        <v>693.3</v>
      </c>
      <c r="H694" s="7">
        <v>693</v>
      </c>
    </row>
    <row r="695" spans="1:8" ht="12.45" customHeight="1" x14ac:dyDescent="0.3">
      <c r="A695" s="2" t="s">
        <v>719</v>
      </c>
      <c r="B695" s="2">
        <v>26</v>
      </c>
      <c r="C695" s="2">
        <v>1.95</v>
      </c>
      <c r="D695" s="2">
        <v>104.4</v>
      </c>
      <c r="E695" s="6">
        <f>_xlfn.RANK.EQ(C695,C:C,0)</f>
        <v>694</v>
      </c>
      <c r="F695" s="6">
        <f>_xlfn.RANK.EQ(D695,D:D,0)</f>
        <v>692</v>
      </c>
      <c r="G695" s="2">
        <f>E695*0.7+F695*0.3</f>
        <v>693.4</v>
      </c>
      <c r="H695" s="7">
        <v>694</v>
      </c>
    </row>
    <row r="696" spans="1:8" ht="12.45" customHeight="1" x14ac:dyDescent="0.3">
      <c r="A696" s="2" t="s">
        <v>720</v>
      </c>
      <c r="B696" s="2">
        <v>26</v>
      </c>
      <c r="C696" s="2">
        <v>1.8</v>
      </c>
      <c r="D696" s="2">
        <v>76.5</v>
      </c>
      <c r="E696" s="6">
        <f>_xlfn.RANK.EQ(C696,C:C,0)</f>
        <v>695</v>
      </c>
      <c r="F696" s="6">
        <f>_xlfn.RANK.EQ(D696,D:D,0)</f>
        <v>697</v>
      </c>
      <c r="G696" s="2">
        <f>E696*0.7+F696*0.3</f>
        <v>695.59999999999991</v>
      </c>
      <c r="H696" s="7">
        <v>695</v>
      </c>
    </row>
    <row r="697" spans="1:8" ht="12.45" customHeight="1" x14ac:dyDescent="0.3">
      <c r="A697" s="2" t="s">
        <v>721</v>
      </c>
      <c r="B697" s="2">
        <v>32</v>
      </c>
      <c r="C697" s="2">
        <v>1.74</v>
      </c>
      <c r="D697" s="2">
        <v>77.55</v>
      </c>
      <c r="E697" s="6">
        <f>_xlfn.RANK.EQ(C697,C:C,0)</f>
        <v>696</v>
      </c>
      <c r="F697" s="6">
        <f>_xlfn.RANK.EQ(D697,D:D,0)</f>
        <v>696</v>
      </c>
      <c r="G697" s="2">
        <f>E697*0.7+F697*0.3</f>
        <v>696</v>
      </c>
      <c r="H697" s="7">
        <v>696</v>
      </c>
    </row>
    <row r="698" spans="1:8" ht="12.45" customHeight="1" x14ac:dyDescent="0.3">
      <c r="A698" s="2" t="s">
        <v>722</v>
      </c>
      <c r="B698" s="2">
        <v>35.5</v>
      </c>
      <c r="C698" s="2">
        <v>1.47</v>
      </c>
      <c r="D698" s="2">
        <v>79.349999999999994</v>
      </c>
      <c r="E698" s="6">
        <f>_xlfn.RANK.EQ(C698,C:C,0)</f>
        <v>698</v>
      </c>
      <c r="F698" s="6">
        <f>_xlfn.RANK.EQ(D698,D:D,0)</f>
        <v>695</v>
      </c>
      <c r="G698" s="2">
        <f>E698*0.7+F698*0.3</f>
        <v>697.09999999999991</v>
      </c>
      <c r="H698" s="7">
        <v>697</v>
      </c>
    </row>
    <row r="699" spans="1:8" ht="12.45" customHeight="1" x14ac:dyDescent="0.3">
      <c r="A699" s="2" t="s">
        <v>723</v>
      </c>
      <c r="B699" s="2">
        <v>25.5</v>
      </c>
      <c r="C699" s="2">
        <v>1.51</v>
      </c>
      <c r="D699" s="2">
        <v>64.95</v>
      </c>
      <c r="E699" s="6">
        <f>_xlfn.RANK.EQ(C699,C:C,0)</f>
        <v>697</v>
      </c>
      <c r="F699" s="6">
        <f>_xlfn.RANK.EQ(D699,D:D,0)</f>
        <v>698</v>
      </c>
      <c r="G699" s="2">
        <f>E699*0.7+F699*0.3</f>
        <v>697.3</v>
      </c>
      <c r="H699" s="7">
        <v>698</v>
      </c>
    </row>
    <row r="700" spans="1:8" ht="12.45" customHeight="1" x14ac:dyDescent="0.3">
      <c r="A700" s="2" t="s">
        <v>724</v>
      </c>
      <c r="B700" s="2">
        <v>30.5</v>
      </c>
      <c r="C700" s="2">
        <v>1.1299999999999999</v>
      </c>
      <c r="D700" s="2">
        <v>59.25</v>
      </c>
      <c r="E700" s="6">
        <f>_xlfn.RANK.EQ(C700,C:C,0)</f>
        <v>699</v>
      </c>
      <c r="F700" s="6">
        <f>_xlfn.RANK.EQ(D700,D:D,0)</f>
        <v>699</v>
      </c>
      <c r="G700" s="2">
        <f>E700*0.7+F700*0.3</f>
        <v>699</v>
      </c>
      <c r="H700" s="7">
        <v>699</v>
      </c>
    </row>
    <row r="701" spans="1:8" ht="12.45" customHeight="1" x14ac:dyDescent="0.3">
      <c r="A701" s="2" t="s">
        <v>725</v>
      </c>
      <c r="B701" s="2">
        <v>13.5</v>
      </c>
      <c r="C701" s="2">
        <v>1.08</v>
      </c>
      <c r="D701" s="2">
        <v>27.45</v>
      </c>
      <c r="E701" s="6">
        <f>_xlfn.RANK.EQ(C701,C:C,0)</f>
        <v>700</v>
      </c>
      <c r="F701" s="6">
        <f>_xlfn.RANK.EQ(D701,D:D,0)</f>
        <v>701</v>
      </c>
      <c r="G701" s="2">
        <f>E701*0.7+F701*0.3</f>
        <v>700.3</v>
      </c>
      <c r="H701" s="7">
        <v>700</v>
      </c>
    </row>
    <row r="702" spans="1:8" ht="12.45" customHeight="1" x14ac:dyDescent="0.3">
      <c r="A702" s="2" t="s">
        <v>726</v>
      </c>
      <c r="B702" s="2">
        <v>17.5</v>
      </c>
      <c r="C702" s="2">
        <v>0.81</v>
      </c>
      <c r="D702" s="2">
        <v>47.1</v>
      </c>
      <c r="E702" s="6">
        <f>_xlfn.RANK.EQ(C702,C:C,0)</f>
        <v>701</v>
      </c>
      <c r="F702" s="6">
        <f>_xlfn.RANK.EQ(D702,D:D,0)</f>
        <v>700</v>
      </c>
      <c r="G702" s="2">
        <f>E702*0.7+F702*0.3</f>
        <v>700.7</v>
      </c>
      <c r="H702" s="7">
        <v>701</v>
      </c>
    </row>
  </sheetData>
  <autoFilter ref="A1:H702" xr:uid="{7EA6EBA5-938A-4316-838E-BE03546A8902}">
    <sortState xmlns:xlrd2="http://schemas.microsoft.com/office/spreadsheetml/2017/richdata2" ref="A2:H702">
      <sortCondition ref="H1:H702"/>
    </sortState>
  </autoFilter>
  <sortState xmlns:xlrd2="http://schemas.microsoft.com/office/spreadsheetml/2017/richdata2" ref="A2:H704">
    <sortCondition ref="H1:H704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25AD-8AB4-409A-B71F-9FA72D7D75DD}">
  <sheetPr>
    <outlinePr summaryBelow="0" summaryRight="0"/>
  </sheetPr>
  <dimension ref="A1:H280"/>
  <sheetViews>
    <sheetView tabSelected="1" topLeftCell="A46" zoomScaleNormal="100" workbookViewId="0">
      <selection activeCell="H55" sqref="H55"/>
    </sheetView>
  </sheetViews>
  <sheetFormatPr defaultColWidth="8.6328125" defaultRowHeight="12.45" customHeight="1" x14ac:dyDescent="0.3"/>
  <cols>
    <col min="1" max="1" width="11.90625" style="8" customWidth="1"/>
    <col min="2" max="2" width="7.90625" style="8" customWidth="1"/>
    <col min="3" max="3" width="10.08984375" style="8" customWidth="1"/>
    <col min="4" max="4" width="7.6328125" style="8" customWidth="1"/>
    <col min="5" max="6" width="9.08984375" style="8" customWidth="1"/>
    <col min="7" max="7" width="11.36328125" style="8" customWidth="1"/>
    <col min="8" max="8" width="7.6328125" style="8" customWidth="1"/>
    <col min="9" max="16384" width="8.6328125" style="5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727</v>
      </c>
      <c r="B2" s="2">
        <v>60.5</v>
      </c>
      <c r="C2" s="2">
        <v>4.82</v>
      </c>
      <c r="D2" s="2">
        <v>291.8</v>
      </c>
      <c r="E2" s="6">
        <f>_xlfn.RANK.EQ(C2,C:C,0)</f>
        <v>1</v>
      </c>
      <c r="F2" s="6">
        <f>_xlfn.RANK.EQ(D2,D:D,0)</f>
        <v>1</v>
      </c>
      <c r="G2" s="2">
        <f>E2*0.7+F2*0.3</f>
        <v>1</v>
      </c>
      <c r="H2" s="7">
        <v>1</v>
      </c>
    </row>
    <row r="3" spans="1:8" ht="12.45" customHeight="1" x14ac:dyDescent="0.3">
      <c r="A3" s="2" t="s">
        <v>728</v>
      </c>
      <c r="B3" s="2">
        <v>56</v>
      </c>
      <c r="C3" s="2">
        <v>4.7300000000000004</v>
      </c>
      <c r="D3" s="2">
        <v>264.75</v>
      </c>
      <c r="E3" s="6">
        <f>_xlfn.RANK.EQ(C3,C:C,0)</f>
        <v>4</v>
      </c>
      <c r="F3" s="6">
        <f>_xlfn.RANK.EQ(D3,D:D,0)</f>
        <v>6</v>
      </c>
      <c r="G3" s="2">
        <f>E3*0.7+F3*0.3</f>
        <v>4.5999999999999996</v>
      </c>
      <c r="H3" s="7">
        <v>2</v>
      </c>
    </row>
    <row r="4" spans="1:8" ht="12.45" customHeight="1" x14ac:dyDescent="0.3">
      <c r="A4" s="2" t="s">
        <v>729</v>
      </c>
      <c r="B4" s="2">
        <v>54</v>
      </c>
      <c r="C4" s="2">
        <v>4.78</v>
      </c>
      <c r="D4" s="2">
        <v>258.25</v>
      </c>
      <c r="E4" s="6">
        <f>_xlfn.RANK.EQ(C4,C:C,0)</f>
        <v>2</v>
      </c>
      <c r="F4" s="6">
        <f>_xlfn.RANK.EQ(D4,D:D,0)</f>
        <v>12</v>
      </c>
      <c r="G4" s="2">
        <f>E4*0.7+F4*0.3</f>
        <v>5</v>
      </c>
      <c r="H4" s="7">
        <v>3</v>
      </c>
    </row>
    <row r="5" spans="1:8" ht="12.45" customHeight="1" x14ac:dyDescent="0.3">
      <c r="A5" s="2" t="s">
        <v>730</v>
      </c>
      <c r="B5" s="2">
        <v>62</v>
      </c>
      <c r="C5" s="2">
        <v>4.63</v>
      </c>
      <c r="D5" s="2">
        <v>287.2</v>
      </c>
      <c r="E5" s="6">
        <f>_xlfn.RANK.EQ(C5,C:C,0)</f>
        <v>9</v>
      </c>
      <c r="F5" s="6">
        <f>_xlfn.RANK.EQ(D5,D:D,0)</f>
        <v>2</v>
      </c>
      <c r="G5" s="2">
        <f>E5*0.7+F5*0.3</f>
        <v>6.8999999999999995</v>
      </c>
      <c r="H5" s="7">
        <v>4</v>
      </c>
    </row>
    <row r="6" spans="1:8" ht="12.45" customHeight="1" x14ac:dyDescent="0.3">
      <c r="A6" s="2" t="s">
        <v>731</v>
      </c>
      <c r="B6" s="2">
        <v>55.5</v>
      </c>
      <c r="C6" s="2">
        <v>4.6900000000000004</v>
      </c>
      <c r="D6" s="2">
        <v>260.2</v>
      </c>
      <c r="E6" s="6">
        <f>_xlfn.RANK.EQ(C6,C:C,0)</f>
        <v>6</v>
      </c>
      <c r="F6" s="6">
        <f>_xlfn.RANK.EQ(D6,D:D,0)</f>
        <v>11</v>
      </c>
      <c r="G6" s="2">
        <f>E6*0.7+F6*0.3</f>
        <v>7.4999999999999991</v>
      </c>
      <c r="H6" s="7">
        <v>5</v>
      </c>
    </row>
    <row r="7" spans="1:8" ht="12.45" customHeight="1" x14ac:dyDescent="0.3">
      <c r="A7" s="2" t="s">
        <v>732</v>
      </c>
      <c r="B7" s="2">
        <v>58.5</v>
      </c>
      <c r="C7" s="2">
        <v>4.58</v>
      </c>
      <c r="D7" s="2">
        <v>268.2</v>
      </c>
      <c r="E7" s="6">
        <f>_xlfn.RANK.EQ(C7,C:C,0)</f>
        <v>11</v>
      </c>
      <c r="F7" s="6">
        <f>_xlfn.RANK.EQ(D7,D:D,0)</f>
        <v>5</v>
      </c>
      <c r="G7" s="2">
        <f>E7*0.7+F7*0.3</f>
        <v>9.1999999999999993</v>
      </c>
      <c r="H7" s="7">
        <v>6</v>
      </c>
    </row>
    <row r="8" spans="1:8" ht="12.45" customHeight="1" x14ac:dyDescent="0.3">
      <c r="A8" s="2" t="s">
        <v>733</v>
      </c>
      <c r="B8" s="2">
        <v>55.5</v>
      </c>
      <c r="C8" s="2">
        <v>4.58</v>
      </c>
      <c r="D8" s="2">
        <v>254.35</v>
      </c>
      <c r="E8" s="6">
        <f>_xlfn.RANK.EQ(C8,C:C,0)</f>
        <v>11</v>
      </c>
      <c r="F8" s="6">
        <f>_xlfn.RANK.EQ(D8,D:D,0)</f>
        <v>15</v>
      </c>
      <c r="G8" s="2">
        <f>E8*0.7+F8*0.3</f>
        <v>12.2</v>
      </c>
      <c r="H8" s="7">
        <v>7</v>
      </c>
    </row>
    <row r="9" spans="1:8" ht="12.45" customHeight="1" x14ac:dyDescent="0.3">
      <c r="A9" s="2" t="s">
        <v>734</v>
      </c>
      <c r="B9" s="2">
        <v>55</v>
      </c>
      <c r="C9" s="2">
        <v>4.59</v>
      </c>
      <c r="D9" s="2">
        <v>250.9</v>
      </c>
      <c r="E9" s="6">
        <f>_xlfn.RANK.EQ(C9,C:C,0)</f>
        <v>10</v>
      </c>
      <c r="F9" s="6">
        <f>_xlfn.RANK.EQ(D9,D:D,0)</f>
        <v>21</v>
      </c>
      <c r="G9" s="2">
        <f>E9*0.7+F9*0.3</f>
        <v>13.3</v>
      </c>
      <c r="H9" s="7">
        <v>8</v>
      </c>
    </row>
    <row r="10" spans="1:8" ht="12.45" customHeight="1" x14ac:dyDescent="0.3">
      <c r="A10" s="2" t="s">
        <v>735</v>
      </c>
      <c r="B10" s="2">
        <v>55.5</v>
      </c>
      <c r="C10" s="2">
        <v>4.5599999999999996</v>
      </c>
      <c r="D10" s="2">
        <v>253.15</v>
      </c>
      <c r="E10" s="6">
        <f>_xlfn.RANK.EQ(C10,C:C,0)</f>
        <v>15</v>
      </c>
      <c r="F10" s="6">
        <f>_xlfn.RANK.EQ(D10,D:D,0)</f>
        <v>16</v>
      </c>
      <c r="G10" s="2">
        <f>E10*0.7+F10*0.3</f>
        <v>15.3</v>
      </c>
      <c r="H10" s="7">
        <v>9</v>
      </c>
    </row>
    <row r="11" spans="1:8" ht="12.45" customHeight="1" x14ac:dyDescent="0.3">
      <c r="A11" s="2" t="s">
        <v>736</v>
      </c>
      <c r="B11" s="2">
        <v>51.5</v>
      </c>
      <c r="C11" s="2">
        <v>4.7</v>
      </c>
      <c r="D11" s="2">
        <v>242.1</v>
      </c>
      <c r="E11" s="6">
        <f>_xlfn.RANK.EQ(C11,C:C,0)</f>
        <v>5</v>
      </c>
      <c r="F11" s="6">
        <f>_xlfn.RANK.EQ(D11,D:D,0)</f>
        <v>43</v>
      </c>
      <c r="G11" s="2">
        <f>E11*0.7+F11*0.3</f>
        <v>16.399999999999999</v>
      </c>
      <c r="H11" s="7">
        <v>10</v>
      </c>
    </row>
    <row r="12" spans="1:8" ht="12.45" customHeight="1" x14ac:dyDescent="0.3">
      <c r="A12" s="2" t="s">
        <v>737</v>
      </c>
      <c r="B12" s="2">
        <v>55</v>
      </c>
      <c r="C12" s="2">
        <v>4.55</v>
      </c>
      <c r="D12" s="2">
        <v>250.35</v>
      </c>
      <c r="E12" s="6">
        <f>_xlfn.RANK.EQ(C12,C:C,0)</f>
        <v>17</v>
      </c>
      <c r="F12" s="6">
        <f>_xlfn.RANK.EQ(D12,D:D,0)</f>
        <v>24</v>
      </c>
      <c r="G12" s="2">
        <f>E12*0.7+F12*0.3</f>
        <v>19.099999999999998</v>
      </c>
      <c r="H12" s="7">
        <v>11</v>
      </c>
    </row>
    <row r="13" spans="1:8" ht="12.45" customHeight="1" x14ac:dyDescent="0.3">
      <c r="A13" s="2" t="s">
        <v>738</v>
      </c>
      <c r="B13" s="2">
        <v>55.5</v>
      </c>
      <c r="C13" s="2">
        <v>4.5199999999999996</v>
      </c>
      <c r="D13" s="2">
        <v>250.85</v>
      </c>
      <c r="E13" s="6">
        <f>_xlfn.RANK.EQ(C13,C:C,0)</f>
        <v>19</v>
      </c>
      <c r="F13" s="6">
        <f>_xlfn.RANK.EQ(D13,D:D,0)</f>
        <v>22</v>
      </c>
      <c r="G13" s="2">
        <f>E13*0.7+F13*0.3</f>
        <v>19.899999999999999</v>
      </c>
      <c r="H13" s="7">
        <v>12</v>
      </c>
    </row>
    <row r="14" spans="1:8" ht="12.45" customHeight="1" x14ac:dyDescent="0.3">
      <c r="A14" s="2" t="s">
        <v>739</v>
      </c>
      <c r="B14" s="2">
        <v>55.5</v>
      </c>
      <c r="C14" s="2">
        <v>4.51</v>
      </c>
      <c r="D14" s="2">
        <v>250.4</v>
      </c>
      <c r="E14" s="6">
        <f>_xlfn.RANK.EQ(C14,C:C,0)</f>
        <v>20</v>
      </c>
      <c r="F14" s="6">
        <f>_xlfn.RANK.EQ(D14,D:D,0)</f>
        <v>23</v>
      </c>
      <c r="G14" s="2">
        <f>E14*0.7+F14*0.3</f>
        <v>20.9</v>
      </c>
      <c r="H14" s="7">
        <v>13</v>
      </c>
    </row>
    <row r="15" spans="1:8" ht="12.45" customHeight="1" x14ac:dyDescent="0.3">
      <c r="A15" s="2" t="s">
        <v>740</v>
      </c>
      <c r="B15" s="2">
        <v>51.5</v>
      </c>
      <c r="C15" s="2">
        <v>4.6399999999999997</v>
      </c>
      <c r="D15" s="2">
        <v>239.05</v>
      </c>
      <c r="E15" s="6">
        <f>_xlfn.RANK.EQ(C15,C:C,0)</f>
        <v>8</v>
      </c>
      <c r="F15" s="6">
        <f>_xlfn.RANK.EQ(D15,D:D,0)</f>
        <v>53</v>
      </c>
      <c r="G15" s="2">
        <f>E15*0.7+F15*0.3</f>
        <v>21.5</v>
      </c>
      <c r="H15" s="7">
        <v>14</v>
      </c>
    </row>
    <row r="16" spans="1:8" ht="12.45" customHeight="1" x14ac:dyDescent="0.3">
      <c r="A16" s="2" t="s">
        <v>741</v>
      </c>
      <c r="B16" s="2">
        <v>53.5</v>
      </c>
      <c r="C16" s="2">
        <v>4.5599999999999996</v>
      </c>
      <c r="D16" s="2">
        <v>244.05</v>
      </c>
      <c r="E16" s="6">
        <f>_xlfn.RANK.EQ(C16,C:C,0)</f>
        <v>15</v>
      </c>
      <c r="F16" s="6">
        <f>_xlfn.RANK.EQ(D16,D:D,0)</f>
        <v>38</v>
      </c>
      <c r="G16" s="2">
        <f>E16*0.7+F16*0.3</f>
        <v>21.9</v>
      </c>
      <c r="H16" s="7">
        <v>15</v>
      </c>
    </row>
    <row r="17" spans="1:8" ht="12.45" customHeight="1" x14ac:dyDescent="0.3">
      <c r="A17" s="2" t="s">
        <v>742</v>
      </c>
      <c r="B17" s="2">
        <v>49</v>
      </c>
      <c r="C17" s="2">
        <v>4.7699999999999996</v>
      </c>
      <c r="D17" s="2">
        <v>233.55</v>
      </c>
      <c r="E17" s="6">
        <f>_xlfn.RANK.EQ(C17,C:C,0)</f>
        <v>3</v>
      </c>
      <c r="F17" s="6">
        <f>_xlfn.RANK.EQ(D17,D:D,0)</f>
        <v>67</v>
      </c>
      <c r="G17" s="2">
        <f>E17*0.7+F17*0.3</f>
        <v>22.199999999999996</v>
      </c>
      <c r="H17" s="7">
        <v>16</v>
      </c>
    </row>
    <row r="18" spans="1:8" ht="12.45" customHeight="1" x14ac:dyDescent="0.3">
      <c r="A18" s="2" t="s">
        <v>743</v>
      </c>
      <c r="B18" s="2">
        <v>59</v>
      </c>
      <c r="C18" s="2">
        <v>4.47</v>
      </c>
      <c r="D18" s="2">
        <v>262.10000000000002</v>
      </c>
      <c r="E18" s="6">
        <f>_xlfn.RANK.EQ(C18,C:C,0)</f>
        <v>30</v>
      </c>
      <c r="F18" s="6">
        <f>_xlfn.RANK.EQ(D18,D:D,0)</f>
        <v>8</v>
      </c>
      <c r="G18" s="2">
        <f>E18*0.7+F18*0.3</f>
        <v>23.4</v>
      </c>
      <c r="H18" s="7">
        <v>17</v>
      </c>
    </row>
    <row r="19" spans="1:8" ht="12.45" customHeight="1" x14ac:dyDescent="0.3">
      <c r="A19" s="2" t="s">
        <v>744</v>
      </c>
      <c r="B19" s="2">
        <v>58.5</v>
      </c>
      <c r="C19" s="2">
        <v>4.47</v>
      </c>
      <c r="D19" s="2">
        <v>261.3</v>
      </c>
      <c r="E19" s="6">
        <f>_xlfn.RANK.EQ(C19,C:C,0)</f>
        <v>30</v>
      </c>
      <c r="F19" s="6">
        <f>_xlfn.RANK.EQ(D19,D:D,0)</f>
        <v>10</v>
      </c>
      <c r="G19" s="2">
        <f>E19*0.7+F19*0.3</f>
        <v>24</v>
      </c>
      <c r="H19" s="7">
        <v>18</v>
      </c>
    </row>
    <row r="20" spans="1:8" ht="12.45" customHeight="1" x14ac:dyDescent="0.3">
      <c r="A20" s="2" t="s">
        <v>745</v>
      </c>
      <c r="B20" s="2">
        <v>52</v>
      </c>
      <c r="C20" s="2">
        <v>4.58</v>
      </c>
      <c r="D20" s="2">
        <v>238.2</v>
      </c>
      <c r="E20" s="6">
        <f>_xlfn.RANK.EQ(C20,C:C,0)</f>
        <v>11</v>
      </c>
      <c r="F20" s="6">
        <f>_xlfn.RANK.EQ(D20,D:D,0)</f>
        <v>55</v>
      </c>
      <c r="G20" s="2">
        <f>E20*0.7+F20*0.3</f>
        <v>24.2</v>
      </c>
      <c r="H20" s="7">
        <v>19</v>
      </c>
    </row>
    <row r="21" spans="1:8" ht="12.45" customHeight="1" x14ac:dyDescent="0.3">
      <c r="A21" s="2" t="s">
        <v>746</v>
      </c>
      <c r="B21" s="2">
        <v>59</v>
      </c>
      <c r="C21" s="2">
        <v>4.45</v>
      </c>
      <c r="D21" s="2">
        <v>262.39999999999998</v>
      </c>
      <c r="E21" s="6">
        <f>_xlfn.RANK.EQ(C21,C:C,0)</f>
        <v>34</v>
      </c>
      <c r="F21" s="6">
        <f>_xlfn.RANK.EQ(D21,D:D,0)</f>
        <v>7</v>
      </c>
      <c r="G21" s="2">
        <f>E21*0.7+F21*0.3</f>
        <v>25.9</v>
      </c>
      <c r="H21" s="7">
        <v>20</v>
      </c>
    </row>
    <row r="22" spans="1:8" ht="12.45" customHeight="1" x14ac:dyDescent="0.3">
      <c r="A22" s="2" t="s">
        <v>747</v>
      </c>
      <c r="B22" s="2">
        <v>55.5</v>
      </c>
      <c r="C22" s="2">
        <v>4.49</v>
      </c>
      <c r="D22" s="2">
        <v>249.1</v>
      </c>
      <c r="E22" s="6">
        <f>_xlfn.RANK.EQ(C22,C:C,0)</f>
        <v>26</v>
      </c>
      <c r="F22" s="6">
        <f>_xlfn.RANK.EQ(D22,D:D,0)</f>
        <v>27</v>
      </c>
      <c r="G22" s="2">
        <f>E22*0.7+F22*0.3</f>
        <v>26.299999999999997</v>
      </c>
      <c r="H22" s="7">
        <v>21</v>
      </c>
    </row>
    <row r="23" spans="1:8" ht="12.45" customHeight="1" x14ac:dyDescent="0.3">
      <c r="A23" s="2" t="s">
        <v>748</v>
      </c>
      <c r="B23" s="2">
        <v>52</v>
      </c>
      <c r="C23" s="2">
        <v>4.57</v>
      </c>
      <c r="D23" s="2">
        <v>237.75</v>
      </c>
      <c r="E23" s="6">
        <f>_xlfn.RANK.EQ(C23,C:C,0)</f>
        <v>14</v>
      </c>
      <c r="F23" s="6">
        <f>_xlfn.RANK.EQ(D23,D:D,0)</f>
        <v>57</v>
      </c>
      <c r="G23" s="2">
        <f>E23*0.7+F23*0.3</f>
        <v>26.9</v>
      </c>
      <c r="H23" s="7">
        <v>22</v>
      </c>
    </row>
    <row r="24" spans="1:8" ht="12.45" customHeight="1" x14ac:dyDescent="0.3">
      <c r="A24" s="2" t="s">
        <v>749</v>
      </c>
      <c r="B24" s="2">
        <v>63.5</v>
      </c>
      <c r="C24" s="2">
        <v>4.43</v>
      </c>
      <c r="D24" s="2">
        <v>281.10000000000002</v>
      </c>
      <c r="E24" s="6">
        <f>_xlfn.RANK.EQ(C24,C:C,0)</f>
        <v>38</v>
      </c>
      <c r="F24" s="6">
        <f>_xlfn.RANK.EQ(D24,D:D,0)</f>
        <v>3</v>
      </c>
      <c r="G24" s="2">
        <f>E24*0.7+F24*0.3</f>
        <v>27.499999999999996</v>
      </c>
      <c r="H24" s="7">
        <v>23</v>
      </c>
    </row>
    <row r="25" spans="1:8" ht="12.45" customHeight="1" x14ac:dyDescent="0.3">
      <c r="A25" s="2" t="s">
        <v>750</v>
      </c>
      <c r="B25" s="2">
        <v>53.5</v>
      </c>
      <c r="C25" s="2">
        <v>4.51</v>
      </c>
      <c r="D25" s="2">
        <v>241.2</v>
      </c>
      <c r="E25" s="6">
        <f>_xlfn.RANK.EQ(C25,C:C,0)</f>
        <v>20</v>
      </c>
      <c r="F25" s="6">
        <f>_xlfn.RANK.EQ(D25,D:D,0)</f>
        <v>47</v>
      </c>
      <c r="G25" s="2">
        <f>E25*0.7+F25*0.3</f>
        <v>28.1</v>
      </c>
      <c r="H25" s="7">
        <v>24</v>
      </c>
    </row>
    <row r="26" spans="1:8" ht="12.45" customHeight="1" x14ac:dyDescent="0.3">
      <c r="A26" s="2" t="s">
        <v>751</v>
      </c>
      <c r="B26" s="2">
        <v>55</v>
      </c>
      <c r="C26" s="2">
        <v>4.4800000000000004</v>
      </c>
      <c r="D26" s="2">
        <v>246.25</v>
      </c>
      <c r="E26" s="6">
        <f>_xlfn.RANK.EQ(C26,C:C,0)</f>
        <v>27</v>
      </c>
      <c r="F26" s="6">
        <f>_xlfn.RANK.EQ(D26,D:D,0)</f>
        <v>32</v>
      </c>
      <c r="G26" s="2">
        <f>E26*0.7+F26*0.3</f>
        <v>28.5</v>
      </c>
      <c r="H26" s="7">
        <v>25</v>
      </c>
    </row>
    <row r="27" spans="1:8" ht="12.45" customHeight="1" x14ac:dyDescent="0.3">
      <c r="A27" s="2" t="s">
        <v>752</v>
      </c>
      <c r="B27" s="2">
        <v>56.5</v>
      </c>
      <c r="C27" s="2">
        <v>4.45</v>
      </c>
      <c r="D27" s="2">
        <v>251.15</v>
      </c>
      <c r="E27" s="6">
        <f>_xlfn.RANK.EQ(C27,C:C,0)</f>
        <v>34</v>
      </c>
      <c r="F27" s="6">
        <f>_xlfn.RANK.EQ(D27,D:D,0)</f>
        <v>19</v>
      </c>
      <c r="G27" s="2">
        <f>E27*0.7+F27*0.3</f>
        <v>29.499999999999996</v>
      </c>
      <c r="H27" s="7">
        <v>26</v>
      </c>
    </row>
    <row r="28" spans="1:8" ht="12.45" customHeight="1" x14ac:dyDescent="0.3">
      <c r="A28" s="2" t="s">
        <v>753</v>
      </c>
      <c r="B28" s="2">
        <v>56</v>
      </c>
      <c r="C28" s="2">
        <v>4.46</v>
      </c>
      <c r="D28" s="2">
        <v>249.75</v>
      </c>
      <c r="E28" s="6">
        <f>_xlfn.RANK.EQ(C28,C:C,0)</f>
        <v>33</v>
      </c>
      <c r="F28" s="6">
        <f>_xlfn.RANK.EQ(D28,D:D,0)</f>
        <v>26</v>
      </c>
      <c r="G28" s="2">
        <f>E28*0.7+F28*0.3</f>
        <v>30.9</v>
      </c>
      <c r="H28" s="7">
        <v>27</v>
      </c>
    </row>
    <row r="29" spans="1:8" ht="12.45" customHeight="1" x14ac:dyDescent="0.3">
      <c r="A29" s="2" t="s">
        <v>754</v>
      </c>
      <c r="B29" s="2">
        <v>48.5</v>
      </c>
      <c r="C29" s="2">
        <v>4.6500000000000004</v>
      </c>
      <c r="D29" s="2">
        <v>225.65</v>
      </c>
      <c r="E29" s="6">
        <f>_xlfn.RANK.EQ(C29,C:C,0)</f>
        <v>7</v>
      </c>
      <c r="F29" s="6">
        <f>_xlfn.RANK.EQ(D29,D:D,0)</f>
        <v>88</v>
      </c>
      <c r="G29" s="2">
        <f>E29*0.7+F29*0.3</f>
        <v>31.299999999999997</v>
      </c>
      <c r="H29" s="7">
        <v>28</v>
      </c>
    </row>
    <row r="30" spans="1:8" ht="12.45" customHeight="1" x14ac:dyDescent="0.3">
      <c r="A30" s="2" t="s">
        <v>755</v>
      </c>
      <c r="B30" s="2">
        <v>61.5</v>
      </c>
      <c r="C30" s="2">
        <v>4.38</v>
      </c>
      <c r="D30" s="2">
        <v>269.10000000000002</v>
      </c>
      <c r="E30" s="6">
        <f>_xlfn.RANK.EQ(C30,C:C,0)</f>
        <v>45</v>
      </c>
      <c r="F30" s="6">
        <f>_xlfn.RANK.EQ(D30,D:D,0)</f>
        <v>4</v>
      </c>
      <c r="G30" s="2">
        <f>E30*0.7+F30*0.3</f>
        <v>32.699999999999996</v>
      </c>
      <c r="H30" s="7">
        <v>29</v>
      </c>
    </row>
    <row r="31" spans="1:8" ht="12.45" customHeight="1" x14ac:dyDescent="0.3">
      <c r="A31" s="2" t="s">
        <v>756</v>
      </c>
      <c r="B31" s="2">
        <v>54.5</v>
      </c>
      <c r="C31" s="2">
        <v>4.47</v>
      </c>
      <c r="D31" s="2">
        <v>243.75</v>
      </c>
      <c r="E31" s="6">
        <f>_xlfn.RANK.EQ(C31,C:C,0)</f>
        <v>30</v>
      </c>
      <c r="F31" s="6">
        <f>_xlfn.RANK.EQ(D31,D:D,0)</f>
        <v>40</v>
      </c>
      <c r="G31" s="2">
        <f>E31*0.7+F31*0.3</f>
        <v>33</v>
      </c>
      <c r="H31" s="7">
        <v>30</v>
      </c>
    </row>
    <row r="32" spans="1:8" ht="12.45" customHeight="1" x14ac:dyDescent="0.3">
      <c r="A32" s="2" t="s">
        <v>757</v>
      </c>
      <c r="B32" s="2">
        <v>52</v>
      </c>
      <c r="C32" s="2">
        <v>4.51</v>
      </c>
      <c r="D32" s="2">
        <v>234.45</v>
      </c>
      <c r="E32" s="6">
        <f>_xlfn.RANK.EQ(C32,C:C,0)</f>
        <v>20</v>
      </c>
      <c r="F32" s="6">
        <f>_xlfn.RANK.EQ(D32,D:D,0)</f>
        <v>65</v>
      </c>
      <c r="G32" s="2">
        <f>E32*0.7+F32*0.3</f>
        <v>33.5</v>
      </c>
      <c r="H32" s="7">
        <v>31</v>
      </c>
    </row>
    <row r="33" spans="1:8" ht="12.45" customHeight="1" x14ac:dyDescent="0.3">
      <c r="A33" s="2" t="s">
        <v>758</v>
      </c>
      <c r="B33" s="2">
        <v>52.5</v>
      </c>
      <c r="C33" s="2">
        <v>4.5</v>
      </c>
      <c r="D33" s="2">
        <v>236.45</v>
      </c>
      <c r="E33" s="6">
        <f>_xlfn.RANK.EQ(C33,C:C,0)</f>
        <v>23</v>
      </c>
      <c r="F33" s="6">
        <f>_xlfn.RANK.EQ(D33,D:D,0)</f>
        <v>63</v>
      </c>
      <c r="G33" s="2">
        <f>E33*0.7+F33*0.3</f>
        <v>35</v>
      </c>
      <c r="H33" s="7">
        <v>32</v>
      </c>
    </row>
    <row r="34" spans="1:8" ht="12.45" customHeight="1" x14ac:dyDescent="0.3">
      <c r="A34" s="2" t="s">
        <v>760</v>
      </c>
      <c r="B34" s="2">
        <v>60</v>
      </c>
      <c r="C34" s="2">
        <v>4.37</v>
      </c>
      <c r="D34" s="2">
        <v>262.05</v>
      </c>
      <c r="E34" s="6">
        <f>_xlfn.RANK.EQ(C34,C:C,0)</f>
        <v>47</v>
      </c>
      <c r="F34" s="6">
        <f>_xlfn.RANK.EQ(D34,D:D,0)</f>
        <v>9</v>
      </c>
      <c r="G34" s="2">
        <f>E34*0.7+F34*0.3</f>
        <v>35.6</v>
      </c>
      <c r="H34" s="7">
        <v>33</v>
      </c>
    </row>
    <row r="35" spans="1:8" ht="12.45" customHeight="1" x14ac:dyDescent="0.3">
      <c r="A35" s="2" t="s">
        <v>759</v>
      </c>
      <c r="B35" s="2">
        <v>58.5</v>
      </c>
      <c r="C35" s="2">
        <v>4.38</v>
      </c>
      <c r="D35" s="2">
        <v>256.5</v>
      </c>
      <c r="E35" s="6">
        <f>_xlfn.RANK.EQ(C35,C:C,0)</f>
        <v>45</v>
      </c>
      <c r="F35" s="6">
        <f>_xlfn.RANK.EQ(D35,D:D,0)</f>
        <v>14</v>
      </c>
      <c r="G35" s="2">
        <f>E35*0.7+F35*0.3</f>
        <v>35.699999999999996</v>
      </c>
      <c r="H35" s="7">
        <v>34</v>
      </c>
    </row>
    <row r="36" spans="1:8" ht="12.45" customHeight="1" x14ac:dyDescent="0.3">
      <c r="A36" s="2" t="s">
        <v>761</v>
      </c>
      <c r="B36" s="2">
        <v>52</v>
      </c>
      <c r="C36" s="2">
        <v>4.5</v>
      </c>
      <c r="D36" s="2">
        <v>233.95</v>
      </c>
      <c r="E36" s="6">
        <f>_xlfn.RANK.EQ(C36,C:C,0)</f>
        <v>23</v>
      </c>
      <c r="F36" s="6">
        <f>_xlfn.RANK.EQ(D36,D:D,0)</f>
        <v>66</v>
      </c>
      <c r="G36" s="2">
        <f>E36*0.7+F36*0.3</f>
        <v>35.9</v>
      </c>
      <c r="H36" s="7">
        <v>35</v>
      </c>
    </row>
    <row r="37" spans="1:8" ht="12.45" customHeight="1" x14ac:dyDescent="0.3">
      <c r="A37" s="2" t="s">
        <v>762</v>
      </c>
      <c r="B37" s="2">
        <v>56</v>
      </c>
      <c r="C37" s="2">
        <v>4.3899999999999997</v>
      </c>
      <c r="D37" s="2">
        <v>245.9</v>
      </c>
      <c r="E37" s="6">
        <f>_xlfn.RANK.EQ(C37,C:C,0)</f>
        <v>44</v>
      </c>
      <c r="F37" s="6">
        <f>_xlfn.RANK.EQ(D37,D:D,0)</f>
        <v>35</v>
      </c>
      <c r="G37" s="2">
        <f>E37*0.7+F37*0.3</f>
        <v>41.3</v>
      </c>
      <c r="H37" s="7">
        <v>36</v>
      </c>
    </row>
    <row r="38" spans="1:8" ht="12.45" customHeight="1" x14ac:dyDescent="0.3">
      <c r="A38" s="2" t="s">
        <v>763</v>
      </c>
      <c r="B38" s="2">
        <v>50.5</v>
      </c>
      <c r="C38" s="2">
        <v>4.5</v>
      </c>
      <c r="D38" s="2">
        <v>227</v>
      </c>
      <c r="E38" s="6">
        <f>_xlfn.RANK.EQ(C38,C:C,0)</f>
        <v>23</v>
      </c>
      <c r="F38" s="6">
        <f>_xlfn.RANK.EQ(D38,D:D,0)</f>
        <v>86</v>
      </c>
      <c r="G38" s="2">
        <f>E38*0.7+F38*0.3</f>
        <v>41.9</v>
      </c>
      <c r="H38" s="7">
        <v>37</v>
      </c>
    </row>
    <row r="39" spans="1:8" ht="12.45" customHeight="1" x14ac:dyDescent="0.3">
      <c r="A39" s="2" t="s">
        <v>764</v>
      </c>
      <c r="B39" s="2">
        <v>57</v>
      </c>
      <c r="C39" s="2">
        <v>4.3600000000000003</v>
      </c>
      <c r="D39" s="2">
        <v>248.55</v>
      </c>
      <c r="E39" s="6">
        <f>_xlfn.RANK.EQ(C39,C:C,0)</f>
        <v>49</v>
      </c>
      <c r="F39" s="6">
        <f>_xlfn.RANK.EQ(D39,D:D,0)</f>
        <v>28</v>
      </c>
      <c r="G39" s="2">
        <f>E39*0.7+F39*0.3</f>
        <v>42.699999999999996</v>
      </c>
      <c r="H39" s="7">
        <v>38</v>
      </c>
    </row>
    <row r="40" spans="1:8" ht="12.45" customHeight="1" x14ac:dyDescent="0.3">
      <c r="A40" s="2" t="s">
        <v>765</v>
      </c>
      <c r="B40" s="2">
        <v>51</v>
      </c>
      <c r="C40" s="2">
        <v>4.4800000000000004</v>
      </c>
      <c r="D40" s="2">
        <v>228.7</v>
      </c>
      <c r="E40" s="6">
        <f>_xlfn.RANK.EQ(C40,C:C,0)</f>
        <v>27</v>
      </c>
      <c r="F40" s="6">
        <f>_xlfn.RANK.EQ(D40,D:D,0)</f>
        <v>79</v>
      </c>
      <c r="G40" s="2">
        <f>E40*0.7+F40*0.3</f>
        <v>42.599999999999994</v>
      </c>
      <c r="H40" s="7">
        <v>39</v>
      </c>
    </row>
    <row r="41" spans="1:8" ht="12.45" customHeight="1" x14ac:dyDescent="0.3">
      <c r="A41" s="2" t="s">
        <v>766</v>
      </c>
      <c r="B41" s="2">
        <v>51</v>
      </c>
      <c r="C41" s="2">
        <v>4.4800000000000004</v>
      </c>
      <c r="D41" s="2">
        <v>228.55</v>
      </c>
      <c r="E41" s="6">
        <f>_xlfn.RANK.EQ(C41,C:C,0)</f>
        <v>27</v>
      </c>
      <c r="F41" s="6">
        <f>_xlfn.RANK.EQ(D41,D:D,0)</f>
        <v>80</v>
      </c>
      <c r="G41" s="2">
        <f>E41*0.7+F41*0.3</f>
        <v>42.9</v>
      </c>
      <c r="H41" s="7">
        <v>40</v>
      </c>
    </row>
    <row r="42" spans="1:8" ht="12.45" customHeight="1" x14ac:dyDescent="0.3">
      <c r="A42" s="2" t="s">
        <v>767</v>
      </c>
      <c r="B42" s="2">
        <v>56.5</v>
      </c>
      <c r="C42" s="2">
        <v>4.3600000000000003</v>
      </c>
      <c r="D42" s="2">
        <v>246.25</v>
      </c>
      <c r="E42" s="6">
        <f>_xlfn.RANK.EQ(C42,C:C,0)</f>
        <v>49</v>
      </c>
      <c r="F42" s="6">
        <f>_xlfn.RANK.EQ(D42,D:D,0)</f>
        <v>32</v>
      </c>
      <c r="G42" s="2">
        <f>E42*0.7+F42*0.3</f>
        <v>43.9</v>
      </c>
      <c r="H42" s="7">
        <v>41</v>
      </c>
    </row>
    <row r="43" spans="1:8" ht="12.45" customHeight="1" x14ac:dyDescent="0.3">
      <c r="A43" s="2" t="s">
        <v>768</v>
      </c>
      <c r="B43" s="2">
        <v>54.5</v>
      </c>
      <c r="C43" s="2">
        <v>4.41</v>
      </c>
      <c r="D43" s="2">
        <v>240.35</v>
      </c>
      <c r="E43" s="6">
        <f>_xlfn.RANK.EQ(C43,C:C,0)</f>
        <v>42</v>
      </c>
      <c r="F43" s="6">
        <f>_xlfn.RANK.EQ(D43,D:D,0)</f>
        <v>48</v>
      </c>
      <c r="G43" s="2">
        <f>E43*0.7+F43*0.3</f>
        <v>43.8</v>
      </c>
      <c r="H43" s="7">
        <v>42</v>
      </c>
    </row>
    <row r="44" spans="1:8" ht="12.45" customHeight="1" x14ac:dyDescent="0.3">
      <c r="A44" s="2" t="s">
        <v>769</v>
      </c>
      <c r="B44" s="2">
        <v>58</v>
      </c>
      <c r="C44" s="2">
        <v>4.33</v>
      </c>
      <c r="D44" s="2">
        <v>250.95</v>
      </c>
      <c r="E44" s="6">
        <f>_xlfn.RANK.EQ(C44,C:C,0)</f>
        <v>55</v>
      </c>
      <c r="F44" s="6">
        <f>_xlfn.RANK.EQ(D44,D:D,0)</f>
        <v>20</v>
      </c>
      <c r="G44" s="2">
        <f>E44*0.7+F44*0.3</f>
        <v>44.5</v>
      </c>
      <c r="H44" s="7">
        <v>43</v>
      </c>
    </row>
    <row r="45" spans="1:8" ht="12.45" customHeight="1" x14ac:dyDescent="0.3">
      <c r="A45" s="2" t="s">
        <v>770</v>
      </c>
      <c r="B45" s="2">
        <v>53.5</v>
      </c>
      <c r="C45" s="2">
        <v>4.43</v>
      </c>
      <c r="D45" s="2">
        <v>236.8</v>
      </c>
      <c r="E45" s="6">
        <f>_xlfn.RANK.EQ(C45,C:C,0)</f>
        <v>38</v>
      </c>
      <c r="F45" s="6">
        <f>_xlfn.RANK.EQ(D45,D:D,0)</f>
        <v>61</v>
      </c>
      <c r="G45" s="2">
        <f>E45*0.7+F45*0.3</f>
        <v>44.9</v>
      </c>
      <c r="H45" s="7">
        <v>44</v>
      </c>
    </row>
    <row r="46" spans="1:8" ht="12.45" customHeight="1" x14ac:dyDescent="0.3">
      <c r="A46" s="2" t="s">
        <v>771</v>
      </c>
      <c r="B46" s="2">
        <v>53.5</v>
      </c>
      <c r="C46" s="2">
        <v>4.42</v>
      </c>
      <c r="D46" s="2">
        <v>236.5</v>
      </c>
      <c r="E46" s="6">
        <f>_xlfn.RANK.EQ(C46,C:C,0)</f>
        <v>40</v>
      </c>
      <c r="F46" s="6">
        <f>_xlfn.RANK.EQ(D46,D:D,0)</f>
        <v>62</v>
      </c>
      <c r="G46" s="2">
        <f>E46*0.7+F46*0.3</f>
        <v>46.599999999999994</v>
      </c>
      <c r="H46" s="7">
        <v>45</v>
      </c>
    </row>
    <row r="47" spans="1:8" ht="12.45" customHeight="1" x14ac:dyDescent="0.3">
      <c r="A47" s="2" t="s">
        <v>772</v>
      </c>
      <c r="B47" s="2">
        <v>54</v>
      </c>
      <c r="C47" s="2">
        <v>4.4000000000000004</v>
      </c>
      <c r="D47" s="2">
        <v>237.7</v>
      </c>
      <c r="E47" s="6">
        <f>_xlfn.RANK.EQ(C47,C:C,0)</f>
        <v>43</v>
      </c>
      <c r="F47" s="6">
        <f>_xlfn.RANK.EQ(D47,D:D,0)</f>
        <v>58</v>
      </c>
      <c r="G47" s="2">
        <f>E47*0.7+F47*0.3</f>
        <v>47.5</v>
      </c>
      <c r="H47" s="7">
        <v>46</v>
      </c>
    </row>
    <row r="48" spans="1:8" ht="12.45" customHeight="1" x14ac:dyDescent="0.3">
      <c r="A48" s="2" t="s">
        <v>774</v>
      </c>
      <c r="B48" s="2">
        <v>60</v>
      </c>
      <c r="C48" s="2">
        <v>4.29</v>
      </c>
      <c r="D48" s="2">
        <v>257.39999999999998</v>
      </c>
      <c r="E48" s="6">
        <f>_xlfn.RANK.EQ(C48,C:C,0)</f>
        <v>65</v>
      </c>
      <c r="F48" s="6">
        <f>_xlfn.RANK.EQ(D48,D:D,0)</f>
        <v>13</v>
      </c>
      <c r="G48" s="2">
        <f>E48*0.7+F48*0.3</f>
        <v>49.4</v>
      </c>
      <c r="H48" s="7">
        <v>47</v>
      </c>
    </row>
    <row r="49" spans="1:8" ht="12.45" customHeight="1" x14ac:dyDescent="0.3">
      <c r="A49" s="2" t="s">
        <v>773</v>
      </c>
      <c r="B49" s="2">
        <v>56.5</v>
      </c>
      <c r="C49" s="2">
        <v>4.33</v>
      </c>
      <c r="D49" s="2">
        <v>244.4</v>
      </c>
      <c r="E49" s="6">
        <f>_xlfn.RANK.EQ(C49,C:C,0)</f>
        <v>55</v>
      </c>
      <c r="F49" s="6">
        <f>_xlfn.RANK.EQ(D49,D:D,0)</f>
        <v>37</v>
      </c>
      <c r="G49" s="2">
        <f>E49*0.7+F49*0.3</f>
        <v>49.6</v>
      </c>
      <c r="H49" s="7">
        <v>48</v>
      </c>
    </row>
    <row r="50" spans="1:8" ht="12.45" customHeight="1" x14ac:dyDescent="0.3">
      <c r="A50" s="2" t="s">
        <v>775</v>
      </c>
      <c r="B50" s="2">
        <v>50.5</v>
      </c>
      <c r="C50" s="2">
        <v>4.45</v>
      </c>
      <c r="D50" s="2">
        <v>224.55</v>
      </c>
      <c r="E50" s="6">
        <f>_xlfn.RANK.EQ(C50,C:C,0)</f>
        <v>34</v>
      </c>
      <c r="F50" s="6">
        <f>_xlfn.RANK.EQ(D50,D:D,0)</f>
        <v>91</v>
      </c>
      <c r="G50" s="2">
        <f>E50*0.7+F50*0.3</f>
        <v>51.099999999999994</v>
      </c>
      <c r="H50" s="7">
        <v>49</v>
      </c>
    </row>
    <row r="51" spans="1:8" ht="12.45" customHeight="1" x14ac:dyDescent="0.3">
      <c r="A51" s="2" t="s">
        <v>776</v>
      </c>
      <c r="B51" s="2">
        <v>54.5</v>
      </c>
      <c r="C51" s="2">
        <v>4.3600000000000003</v>
      </c>
      <c r="D51" s="2">
        <v>237.6</v>
      </c>
      <c r="E51" s="6">
        <f>_xlfn.RANK.EQ(C51,C:C,0)</f>
        <v>49</v>
      </c>
      <c r="F51" s="6">
        <f>_xlfn.RANK.EQ(D51,D:D,0)</f>
        <v>59</v>
      </c>
      <c r="G51" s="2">
        <f>E51*0.7+F51*0.3</f>
        <v>52</v>
      </c>
      <c r="H51" s="7">
        <v>50</v>
      </c>
    </row>
    <row r="52" spans="1:8" ht="12.45" customHeight="1" x14ac:dyDescent="0.3">
      <c r="A52" s="2" t="s">
        <v>777</v>
      </c>
      <c r="B52" s="2">
        <v>47</v>
      </c>
      <c r="C52" s="2">
        <v>4.53</v>
      </c>
      <c r="D52" s="2">
        <v>212.9</v>
      </c>
      <c r="E52" s="6">
        <f>_xlfn.RANK.EQ(C52,C:C,0)</f>
        <v>18</v>
      </c>
      <c r="F52" s="6">
        <f>_xlfn.RANK.EQ(D52,D:D,0)</f>
        <v>129</v>
      </c>
      <c r="G52" s="2">
        <f>E52*0.7+F52*0.3</f>
        <v>51.3</v>
      </c>
      <c r="H52" s="7">
        <v>50</v>
      </c>
    </row>
    <row r="53" spans="1:8" ht="12.45" customHeight="1" x14ac:dyDescent="0.3">
      <c r="A53" s="2" t="s">
        <v>778</v>
      </c>
      <c r="B53" s="2">
        <v>57.5</v>
      </c>
      <c r="C53" s="2">
        <v>4.3</v>
      </c>
      <c r="D53" s="2">
        <v>247.45</v>
      </c>
      <c r="E53" s="6">
        <f>_xlfn.RANK.EQ(C53,C:C,0)</f>
        <v>61</v>
      </c>
      <c r="F53" s="6">
        <f>_xlfn.RANK.EQ(D53,D:D,0)</f>
        <v>30</v>
      </c>
      <c r="G53" s="2">
        <f>E53*0.7+F53*0.3</f>
        <v>51.699999999999996</v>
      </c>
      <c r="H53" s="7">
        <v>52</v>
      </c>
    </row>
    <row r="54" spans="1:8" ht="12.45" customHeight="1" x14ac:dyDescent="0.3">
      <c r="A54" s="2" t="s">
        <v>779</v>
      </c>
      <c r="B54" s="2">
        <v>50.5</v>
      </c>
      <c r="C54" s="2">
        <v>4.4400000000000004</v>
      </c>
      <c r="D54" s="2">
        <v>224.15</v>
      </c>
      <c r="E54" s="6">
        <f>_xlfn.RANK.EQ(C54,C:C,0)</f>
        <v>37</v>
      </c>
      <c r="F54" s="6">
        <f>_xlfn.RANK.EQ(D54,D:D,0)</f>
        <v>93</v>
      </c>
      <c r="G54" s="2">
        <f>E54*0.7+F54*0.3</f>
        <v>53.8</v>
      </c>
      <c r="H54" s="7">
        <v>53</v>
      </c>
    </row>
    <row r="55" spans="1:8" ht="12.45" customHeight="1" x14ac:dyDescent="0.3">
      <c r="A55" s="2" t="s">
        <v>782</v>
      </c>
      <c r="B55" s="2">
        <v>56</v>
      </c>
      <c r="C55" s="2">
        <v>4.32</v>
      </c>
      <c r="D55" s="2">
        <v>242</v>
      </c>
      <c r="E55" s="6">
        <f>_xlfn.RANK.EQ(C55,C:C,0)</f>
        <v>58</v>
      </c>
      <c r="F55" s="6">
        <f>_xlfn.RANK.EQ(D55,D:D,0)</f>
        <v>44</v>
      </c>
      <c r="G55" s="2">
        <f>E55*0.7+F55*0.3</f>
        <v>53.8</v>
      </c>
      <c r="H55" s="7">
        <v>53</v>
      </c>
    </row>
    <row r="56" spans="1:8" ht="12.45" customHeight="1" x14ac:dyDescent="0.3">
      <c r="A56" s="2" t="s">
        <v>780</v>
      </c>
      <c r="B56" s="2">
        <v>59</v>
      </c>
      <c r="C56" s="2">
        <v>4.28</v>
      </c>
      <c r="D56" s="2">
        <v>252.7</v>
      </c>
      <c r="E56" s="6">
        <f>_xlfn.RANK.EQ(C56,C:C,0)</f>
        <v>70</v>
      </c>
      <c r="F56" s="6">
        <f>_xlfn.RANK.EQ(D56,D:D,0)</f>
        <v>17</v>
      </c>
      <c r="G56" s="2">
        <f>E56*0.7+F56*0.3</f>
        <v>54.1</v>
      </c>
      <c r="H56" s="7">
        <v>55</v>
      </c>
    </row>
    <row r="57" spans="1:8" ht="12.45" customHeight="1" x14ac:dyDescent="0.3">
      <c r="A57" s="2" t="s">
        <v>781</v>
      </c>
      <c r="B57" s="2">
        <v>56.5</v>
      </c>
      <c r="C57" s="2">
        <v>4.3</v>
      </c>
      <c r="D57" s="2">
        <v>243.05</v>
      </c>
      <c r="E57" s="6">
        <f>_xlfn.RANK.EQ(C57,C:C,0)</f>
        <v>61</v>
      </c>
      <c r="F57" s="6">
        <f>_xlfn.RANK.EQ(D57,D:D,0)</f>
        <v>42</v>
      </c>
      <c r="G57" s="2">
        <f>E57*0.7+F57*0.3</f>
        <v>55.3</v>
      </c>
      <c r="H57" s="7">
        <v>56</v>
      </c>
    </row>
    <row r="58" spans="1:8" ht="12.45" customHeight="1" x14ac:dyDescent="0.3">
      <c r="A58" s="2" t="s">
        <v>783</v>
      </c>
      <c r="B58" s="2">
        <v>52.5</v>
      </c>
      <c r="C58" s="2">
        <v>4.3600000000000003</v>
      </c>
      <c r="D58" s="2">
        <v>229</v>
      </c>
      <c r="E58" s="6">
        <f>_xlfn.RANK.EQ(C58,C:C,0)</f>
        <v>49</v>
      </c>
      <c r="F58" s="6">
        <f>_xlfn.RANK.EQ(D58,D:D,0)</f>
        <v>75</v>
      </c>
      <c r="G58" s="2">
        <f>E58*0.7+F58*0.3</f>
        <v>56.8</v>
      </c>
      <c r="H58" s="7">
        <v>57</v>
      </c>
    </row>
    <row r="59" spans="1:8" ht="12.45" customHeight="1" x14ac:dyDescent="0.3">
      <c r="A59" s="2" t="s">
        <v>784</v>
      </c>
      <c r="B59" s="2">
        <v>58</v>
      </c>
      <c r="C59" s="2">
        <v>4.2699999999999996</v>
      </c>
      <c r="D59" s="2">
        <v>247.7</v>
      </c>
      <c r="E59" s="6">
        <f>_xlfn.RANK.EQ(C59,C:C,0)</f>
        <v>72</v>
      </c>
      <c r="F59" s="6">
        <f>_xlfn.RANK.EQ(D59,D:D,0)</f>
        <v>29</v>
      </c>
      <c r="G59" s="2">
        <f>E59*0.7+F59*0.3</f>
        <v>59.099999999999994</v>
      </c>
      <c r="H59" s="7">
        <v>58</v>
      </c>
    </row>
    <row r="60" spans="1:8" ht="12.45" customHeight="1" x14ac:dyDescent="0.3">
      <c r="A60" s="2" t="s">
        <v>785</v>
      </c>
      <c r="B60" s="2">
        <v>53.5</v>
      </c>
      <c r="C60" s="2">
        <v>4.33</v>
      </c>
      <c r="D60" s="2">
        <v>231.75</v>
      </c>
      <c r="E60" s="6">
        <f>_xlfn.RANK.EQ(C60,C:C,0)</f>
        <v>55</v>
      </c>
      <c r="F60" s="6">
        <f>_xlfn.RANK.EQ(D60,D:D,0)</f>
        <v>69</v>
      </c>
      <c r="G60" s="2">
        <f>E60*0.7+F60*0.3</f>
        <v>59.2</v>
      </c>
      <c r="H60" s="7">
        <v>59</v>
      </c>
    </row>
    <row r="61" spans="1:8" ht="12.45" customHeight="1" x14ac:dyDescent="0.3">
      <c r="A61" s="2" t="s">
        <v>786</v>
      </c>
      <c r="B61" s="2">
        <v>55</v>
      </c>
      <c r="C61" s="2">
        <v>4.3099999999999996</v>
      </c>
      <c r="D61" s="2">
        <v>237</v>
      </c>
      <c r="E61" s="6">
        <f>_xlfn.RANK.EQ(C61,C:C,0)</f>
        <v>59</v>
      </c>
      <c r="F61" s="6">
        <f>_xlfn.RANK.EQ(D61,D:D,0)</f>
        <v>60</v>
      </c>
      <c r="G61" s="2">
        <f>E61*0.7+F61*0.3</f>
        <v>59.3</v>
      </c>
      <c r="H61" s="7">
        <v>60</v>
      </c>
    </row>
    <row r="62" spans="1:8" ht="12.45" customHeight="1" x14ac:dyDescent="0.3">
      <c r="A62" s="2" t="s">
        <v>787</v>
      </c>
      <c r="B62" s="2">
        <v>54.5</v>
      </c>
      <c r="C62" s="2">
        <v>4.3099999999999996</v>
      </c>
      <c r="D62" s="2">
        <v>235.1</v>
      </c>
      <c r="E62" s="6">
        <f>_xlfn.RANK.EQ(C62,C:C,0)</f>
        <v>59</v>
      </c>
      <c r="F62" s="6">
        <f>_xlfn.RANK.EQ(D62,D:D,0)</f>
        <v>64</v>
      </c>
      <c r="G62" s="2">
        <f>E62*0.7+F62*0.3</f>
        <v>60.5</v>
      </c>
      <c r="H62" s="7">
        <v>61</v>
      </c>
    </row>
    <row r="63" spans="1:8" ht="12.45" customHeight="1" x14ac:dyDescent="0.3">
      <c r="A63" s="2" t="s">
        <v>788</v>
      </c>
      <c r="B63" s="2">
        <v>55.5</v>
      </c>
      <c r="C63" s="2">
        <v>4.29</v>
      </c>
      <c r="D63" s="2">
        <v>238.15</v>
      </c>
      <c r="E63" s="6">
        <f>_xlfn.RANK.EQ(C63,C:C,0)</f>
        <v>65</v>
      </c>
      <c r="F63" s="6">
        <f>_xlfn.RANK.EQ(D63,D:D,0)</f>
        <v>56</v>
      </c>
      <c r="G63" s="2">
        <f>E63*0.7+F63*0.3</f>
        <v>62.3</v>
      </c>
      <c r="H63" s="7">
        <v>62</v>
      </c>
    </row>
    <row r="64" spans="1:8" ht="12.45" customHeight="1" x14ac:dyDescent="0.3">
      <c r="A64" s="2" t="s">
        <v>789</v>
      </c>
      <c r="B64" s="2">
        <v>60</v>
      </c>
      <c r="C64" s="2">
        <v>4.1900000000000004</v>
      </c>
      <c r="D64" s="2">
        <v>251.6</v>
      </c>
      <c r="E64" s="6">
        <f>_xlfn.RANK.EQ(C64,C:C,0)</f>
        <v>82</v>
      </c>
      <c r="F64" s="6">
        <f>_xlfn.RANK.EQ(D64,D:D,0)</f>
        <v>18</v>
      </c>
      <c r="G64" s="2">
        <f>E64*0.7+F64*0.3</f>
        <v>62.8</v>
      </c>
      <c r="H64" s="7">
        <v>63</v>
      </c>
    </row>
    <row r="65" spans="1:8" ht="12.45" customHeight="1" x14ac:dyDescent="0.3">
      <c r="A65" s="2" t="s">
        <v>790</v>
      </c>
      <c r="B65" s="2">
        <v>54</v>
      </c>
      <c r="C65" s="2">
        <v>4.3</v>
      </c>
      <c r="D65" s="2">
        <v>232.3</v>
      </c>
      <c r="E65" s="6">
        <f>_xlfn.RANK.EQ(C65,C:C,0)</f>
        <v>61</v>
      </c>
      <c r="F65" s="6">
        <f>_xlfn.RANK.EQ(D65,D:D,0)</f>
        <v>68</v>
      </c>
      <c r="G65" s="2">
        <f>E65*0.7+F65*0.3</f>
        <v>63.099999999999994</v>
      </c>
      <c r="H65" s="7">
        <v>64</v>
      </c>
    </row>
    <row r="66" spans="1:8" ht="12.45" customHeight="1" x14ac:dyDescent="0.3">
      <c r="A66" s="2" t="s">
        <v>791</v>
      </c>
      <c r="B66" s="2">
        <v>49</v>
      </c>
      <c r="C66" s="2">
        <v>4.42</v>
      </c>
      <c r="D66" s="2">
        <v>216.75</v>
      </c>
      <c r="E66" s="6">
        <f>_xlfn.RANK.EQ(C66,C:C,0)</f>
        <v>40</v>
      </c>
      <c r="F66" s="6">
        <f>_xlfn.RANK.EQ(D66,D:D,0)</f>
        <v>119</v>
      </c>
      <c r="G66" s="2">
        <f>E66*0.7+F66*0.3</f>
        <v>63.699999999999996</v>
      </c>
      <c r="H66" s="7">
        <v>65</v>
      </c>
    </row>
    <row r="67" spans="1:8" ht="12.45" customHeight="1" x14ac:dyDescent="0.3">
      <c r="A67" s="2" t="s">
        <v>793</v>
      </c>
      <c r="B67" s="2">
        <v>50.5</v>
      </c>
      <c r="C67" s="2">
        <v>4.37</v>
      </c>
      <c r="D67" s="2">
        <v>220.55</v>
      </c>
      <c r="E67" s="6">
        <f>_xlfn.RANK.EQ(C67,C:C,0)</f>
        <v>47</v>
      </c>
      <c r="F67" s="6">
        <f>_xlfn.RANK.EQ(D67,D:D,0)</f>
        <v>105</v>
      </c>
      <c r="G67" s="2">
        <f>E67*0.7+F67*0.3</f>
        <v>64.400000000000006</v>
      </c>
      <c r="H67" s="7">
        <v>66</v>
      </c>
    </row>
    <row r="68" spans="1:8" ht="12.45" customHeight="1" x14ac:dyDescent="0.3">
      <c r="A68" s="2" t="s">
        <v>792</v>
      </c>
      <c r="B68" s="2">
        <v>51.5</v>
      </c>
      <c r="C68" s="2">
        <v>4.3499999999999996</v>
      </c>
      <c r="D68" s="2">
        <v>224.25</v>
      </c>
      <c r="E68" s="6">
        <f>_xlfn.RANK.EQ(C68,C:C,0)</f>
        <v>53</v>
      </c>
      <c r="F68" s="6">
        <f>_xlfn.RANK.EQ(D68,D:D,0)</f>
        <v>92</v>
      </c>
      <c r="G68" s="2">
        <f>E68*0.7+F68*0.3</f>
        <v>64.699999999999989</v>
      </c>
      <c r="H68" s="7">
        <v>67</v>
      </c>
    </row>
    <row r="69" spans="1:8" ht="12.45" customHeight="1" x14ac:dyDescent="0.3">
      <c r="A69" s="2" t="s">
        <v>795</v>
      </c>
      <c r="B69" s="2">
        <v>51</v>
      </c>
      <c r="C69" s="2">
        <v>4.3499999999999996</v>
      </c>
      <c r="D69" s="2">
        <v>221.8</v>
      </c>
      <c r="E69" s="6">
        <f>_xlfn.RANK.EQ(C69,C:C,0)</f>
        <v>53</v>
      </c>
      <c r="F69" s="6">
        <f>_xlfn.RANK.EQ(D69,D:D,0)</f>
        <v>100</v>
      </c>
      <c r="G69" s="2">
        <f>E69*0.7+F69*0.3</f>
        <v>67.099999999999994</v>
      </c>
      <c r="H69" s="7">
        <v>68</v>
      </c>
    </row>
    <row r="70" spans="1:8" ht="12.45" customHeight="1" x14ac:dyDescent="0.3">
      <c r="A70" s="2" t="s">
        <v>794</v>
      </c>
      <c r="B70" s="2">
        <v>56.5</v>
      </c>
      <c r="C70" s="2">
        <v>4.25</v>
      </c>
      <c r="D70" s="2">
        <v>240.2</v>
      </c>
      <c r="E70" s="6">
        <f>_xlfn.RANK.EQ(C70,C:C,0)</f>
        <v>75</v>
      </c>
      <c r="F70" s="6">
        <f>_xlfn.RANK.EQ(D70,D:D,0)</f>
        <v>49</v>
      </c>
      <c r="G70" s="2">
        <f>E70*0.7+F70*0.3</f>
        <v>67.2</v>
      </c>
      <c r="H70" s="7">
        <v>69</v>
      </c>
    </row>
    <row r="71" spans="1:8" ht="12.45" customHeight="1" x14ac:dyDescent="0.3">
      <c r="A71" s="2" t="s">
        <v>796</v>
      </c>
      <c r="B71" s="2">
        <v>53</v>
      </c>
      <c r="C71" s="2">
        <v>4.3</v>
      </c>
      <c r="D71" s="2">
        <v>227.9</v>
      </c>
      <c r="E71" s="6">
        <f>_xlfn.RANK.EQ(C71,C:C,0)</f>
        <v>61</v>
      </c>
      <c r="F71" s="6">
        <f>_xlfn.RANK.EQ(D71,D:D,0)</f>
        <v>84</v>
      </c>
      <c r="G71" s="2">
        <f>E71*0.7+F71*0.3</f>
        <v>67.899999999999991</v>
      </c>
      <c r="H71" s="7">
        <v>70</v>
      </c>
    </row>
    <row r="72" spans="1:8" ht="12.45" customHeight="1" x14ac:dyDescent="0.3">
      <c r="A72" s="2" t="s">
        <v>797</v>
      </c>
      <c r="B72" s="2">
        <v>57</v>
      </c>
      <c r="C72" s="2">
        <v>4.2300000000000004</v>
      </c>
      <c r="D72" s="2">
        <v>241.3</v>
      </c>
      <c r="E72" s="6">
        <f>_xlfn.RANK.EQ(C72,C:C,0)</f>
        <v>78</v>
      </c>
      <c r="F72" s="6">
        <f>_xlfn.RANK.EQ(D72,D:D,0)</f>
        <v>46</v>
      </c>
      <c r="G72" s="2">
        <f>E72*0.7+F72*0.3</f>
        <v>68.399999999999991</v>
      </c>
      <c r="H72" s="7">
        <v>71</v>
      </c>
    </row>
    <row r="73" spans="1:8" ht="12.45" customHeight="1" x14ac:dyDescent="0.3">
      <c r="A73" s="2" t="s">
        <v>798</v>
      </c>
      <c r="B73" s="2">
        <v>59</v>
      </c>
      <c r="C73" s="2">
        <v>4.18</v>
      </c>
      <c r="D73" s="2">
        <v>246.7</v>
      </c>
      <c r="E73" s="6">
        <f>_xlfn.RANK.EQ(C73,C:C,0)</f>
        <v>85</v>
      </c>
      <c r="F73" s="6">
        <f>_xlfn.RANK.EQ(D73,D:D,0)</f>
        <v>31</v>
      </c>
      <c r="G73" s="2">
        <f>E73*0.7+F73*0.3</f>
        <v>68.8</v>
      </c>
      <c r="H73" s="7">
        <v>72</v>
      </c>
    </row>
    <row r="74" spans="1:8" ht="12.45" customHeight="1" x14ac:dyDescent="0.3">
      <c r="A74" s="2" t="s">
        <v>799</v>
      </c>
      <c r="B74" s="2">
        <v>54</v>
      </c>
      <c r="C74" s="2">
        <v>4.28</v>
      </c>
      <c r="D74" s="2">
        <v>231.3</v>
      </c>
      <c r="E74" s="6">
        <f>_xlfn.RANK.EQ(C74,C:C,0)</f>
        <v>70</v>
      </c>
      <c r="F74" s="6">
        <f>_xlfn.RANK.EQ(D74,D:D,0)</f>
        <v>70</v>
      </c>
      <c r="G74" s="2">
        <f>E74*0.7+F74*0.3</f>
        <v>70</v>
      </c>
      <c r="H74" s="7">
        <v>73</v>
      </c>
    </row>
    <row r="75" spans="1:8" ht="12.45" customHeight="1" x14ac:dyDescent="0.3">
      <c r="A75" s="2" t="s">
        <v>800</v>
      </c>
      <c r="B75" s="2">
        <v>59</v>
      </c>
      <c r="C75" s="2">
        <v>4.16</v>
      </c>
      <c r="D75" s="2">
        <v>245.25</v>
      </c>
      <c r="E75" s="6">
        <f>_xlfn.RANK.EQ(C75,C:C,0)</f>
        <v>88</v>
      </c>
      <c r="F75" s="6">
        <f>_xlfn.RANK.EQ(D75,D:D,0)</f>
        <v>36</v>
      </c>
      <c r="G75" s="2">
        <f>E75*0.7+F75*0.3</f>
        <v>72.399999999999991</v>
      </c>
      <c r="H75" s="7">
        <v>74</v>
      </c>
    </row>
    <row r="76" spans="1:8" ht="12.45" customHeight="1" x14ac:dyDescent="0.3">
      <c r="A76" s="2" t="s">
        <v>801</v>
      </c>
      <c r="B76" s="2">
        <v>54</v>
      </c>
      <c r="C76" s="2">
        <v>4.26</v>
      </c>
      <c r="D76" s="2">
        <v>230.25</v>
      </c>
      <c r="E76" s="6">
        <f>_xlfn.RANK.EQ(C76,C:C,0)</f>
        <v>73</v>
      </c>
      <c r="F76" s="6">
        <f>_xlfn.RANK.EQ(D76,D:D,0)</f>
        <v>72</v>
      </c>
      <c r="G76" s="2">
        <f>E76*0.7+F76*0.3</f>
        <v>72.699999999999989</v>
      </c>
      <c r="H76" s="7">
        <v>75</v>
      </c>
    </row>
    <row r="77" spans="1:8" ht="12.45" customHeight="1" x14ac:dyDescent="0.3">
      <c r="A77" s="2" t="s">
        <v>802</v>
      </c>
      <c r="B77" s="2">
        <v>58.5</v>
      </c>
      <c r="C77" s="2">
        <v>4.1399999999999997</v>
      </c>
      <c r="D77" s="2">
        <v>242</v>
      </c>
      <c r="E77" s="6">
        <f>_xlfn.RANK.EQ(C77,C:C,0)</f>
        <v>90</v>
      </c>
      <c r="F77" s="6">
        <f>_xlfn.RANK.EQ(D77,D:D,0)</f>
        <v>44</v>
      </c>
      <c r="G77" s="2">
        <f>E77*0.7+F77*0.3</f>
        <v>76.199999999999989</v>
      </c>
      <c r="H77" s="7">
        <v>76</v>
      </c>
    </row>
    <row r="78" spans="1:8" ht="12.45" customHeight="1" x14ac:dyDescent="0.3">
      <c r="A78" s="2" t="s">
        <v>803</v>
      </c>
      <c r="B78" s="2">
        <v>54</v>
      </c>
      <c r="C78" s="2">
        <v>4.24</v>
      </c>
      <c r="D78" s="2">
        <v>228.85</v>
      </c>
      <c r="E78" s="6">
        <f>_xlfn.RANK.EQ(C78,C:C,0)</f>
        <v>76</v>
      </c>
      <c r="F78" s="6">
        <f>_xlfn.RANK.EQ(D78,D:D,0)</f>
        <v>77</v>
      </c>
      <c r="G78" s="2">
        <f>E78*0.7+F78*0.3</f>
        <v>76.3</v>
      </c>
      <c r="H78" s="7">
        <v>77</v>
      </c>
    </row>
    <row r="79" spans="1:8" ht="12.45" customHeight="1" x14ac:dyDescent="0.3">
      <c r="A79" s="2" t="s">
        <v>804</v>
      </c>
      <c r="B79" s="2">
        <v>51.5</v>
      </c>
      <c r="C79" s="2">
        <v>4.29</v>
      </c>
      <c r="D79" s="2">
        <v>220.85</v>
      </c>
      <c r="E79" s="6">
        <f>_xlfn.RANK.EQ(C79,C:C,0)</f>
        <v>65</v>
      </c>
      <c r="F79" s="6">
        <f>_xlfn.RANK.EQ(D79,D:D,0)</f>
        <v>103</v>
      </c>
      <c r="G79" s="2">
        <f>E79*0.7+F79*0.3</f>
        <v>76.400000000000006</v>
      </c>
      <c r="H79" s="7">
        <v>78</v>
      </c>
    </row>
    <row r="80" spans="1:8" ht="12.45" customHeight="1" x14ac:dyDescent="0.3">
      <c r="A80" s="2" t="s">
        <v>805</v>
      </c>
      <c r="B80" s="2">
        <v>53</v>
      </c>
      <c r="C80" s="2">
        <v>4.26</v>
      </c>
      <c r="D80" s="2">
        <v>225.75</v>
      </c>
      <c r="E80" s="6">
        <f>_xlfn.RANK.EQ(C80,C:C,0)</f>
        <v>73</v>
      </c>
      <c r="F80" s="6">
        <f>_xlfn.RANK.EQ(D80,D:D,0)</f>
        <v>87</v>
      </c>
      <c r="G80" s="2">
        <f>E80*0.7+F80*0.3</f>
        <v>77.199999999999989</v>
      </c>
      <c r="H80" s="7">
        <v>79</v>
      </c>
    </row>
    <row r="81" spans="1:8" ht="12.45" customHeight="1" x14ac:dyDescent="0.3">
      <c r="A81" s="2" t="s">
        <v>806</v>
      </c>
      <c r="B81" s="2">
        <v>54.5</v>
      </c>
      <c r="C81" s="2">
        <v>4.21</v>
      </c>
      <c r="D81" s="2">
        <v>229.25</v>
      </c>
      <c r="E81" s="6">
        <f>_xlfn.RANK.EQ(C81,C:C,0)</f>
        <v>79</v>
      </c>
      <c r="F81" s="6">
        <f>_xlfn.RANK.EQ(D81,D:D,0)</f>
        <v>74</v>
      </c>
      <c r="G81" s="2">
        <f>E81*0.7+F81*0.3</f>
        <v>77.5</v>
      </c>
      <c r="H81" s="7">
        <v>80</v>
      </c>
    </row>
    <row r="82" spans="1:8" ht="12.45" customHeight="1" x14ac:dyDescent="0.3">
      <c r="A82" s="2" t="s">
        <v>807</v>
      </c>
      <c r="B82" s="2">
        <v>61</v>
      </c>
      <c r="C82" s="2">
        <v>4.0999999999999996</v>
      </c>
      <c r="D82" s="2">
        <v>249.9</v>
      </c>
      <c r="E82" s="6">
        <f>_xlfn.RANK.EQ(C82,C:C,0)</f>
        <v>104</v>
      </c>
      <c r="F82" s="6">
        <f>_xlfn.RANK.EQ(D82,D:D,0)</f>
        <v>25</v>
      </c>
      <c r="G82" s="2">
        <f>E82*0.7+F82*0.3</f>
        <v>80.3</v>
      </c>
      <c r="H82" s="7">
        <v>81</v>
      </c>
    </row>
    <row r="83" spans="1:8" ht="12.45" customHeight="1" x14ac:dyDescent="0.3">
      <c r="A83" s="2" t="s">
        <v>808</v>
      </c>
      <c r="B83" s="2">
        <v>58</v>
      </c>
      <c r="C83" s="2">
        <v>4.12</v>
      </c>
      <c r="D83" s="2">
        <v>238.75</v>
      </c>
      <c r="E83" s="6">
        <f>_xlfn.RANK.EQ(C83,C:C,0)</f>
        <v>93</v>
      </c>
      <c r="F83" s="6">
        <f>_xlfn.RANK.EQ(D83,D:D,0)</f>
        <v>54</v>
      </c>
      <c r="G83" s="2">
        <f>E83*0.7+F83*0.3</f>
        <v>81.3</v>
      </c>
      <c r="H83" s="7">
        <v>82</v>
      </c>
    </row>
    <row r="84" spans="1:8" ht="12.45" customHeight="1" x14ac:dyDescent="0.3">
      <c r="A84" s="2" t="s">
        <v>809</v>
      </c>
      <c r="B84" s="2">
        <v>58.5</v>
      </c>
      <c r="C84" s="2">
        <v>4.1100000000000003</v>
      </c>
      <c r="D84" s="2">
        <v>240.2</v>
      </c>
      <c r="E84" s="6">
        <f>_xlfn.RANK.EQ(C84,C:C,0)</f>
        <v>98</v>
      </c>
      <c r="F84" s="6">
        <f>_xlfn.RANK.EQ(D84,D:D,0)</f>
        <v>49</v>
      </c>
      <c r="G84" s="2">
        <f>E84*0.7+F84*0.3</f>
        <v>83.3</v>
      </c>
      <c r="H84" s="7">
        <v>83</v>
      </c>
    </row>
    <row r="85" spans="1:8" ht="12.45" customHeight="1" x14ac:dyDescent="0.3">
      <c r="A85" s="2" t="s">
        <v>810</v>
      </c>
      <c r="B85" s="2">
        <v>54.5</v>
      </c>
      <c r="C85" s="2">
        <v>4.18</v>
      </c>
      <c r="D85" s="2">
        <v>227.9</v>
      </c>
      <c r="E85" s="6">
        <f>_xlfn.RANK.EQ(C85,C:C,0)</f>
        <v>85</v>
      </c>
      <c r="F85" s="6">
        <f>_xlfn.RANK.EQ(D85,D:D,0)</f>
        <v>84</v>
      </c>
      <c r="G85" s="2">
        <f>E85*0.7+F85*0.3</f>
        <v>84.699999999999989</v>
      </c>
      <c r="H85" s="7">
        <v>84</v>
      </c>
    </row>
    <row r="86" spans="1:8" ht="12.45" customHeight="1" x14ac:dyDescent="0.3">
      <c r="A86" s="2" t="s">
        <v>811</v>
      </c>
      <c r="B86" s="2">
        <v>56</v>
      </c>
      <c r="C86" s="2">
        <v>4.13</v>
      </c>
      <c r="D86" s="2">
        <v>231</v>
      </c>
      <c r="E86" s="6">
        <f>_xlfn.RANK.EQ(C86,C:C,0)</f>
        <v>91</v>
      </c>
      <c r="F86" s="6">
        <f>_xlfn.RANK.EQ(D86,D:D,0)</f>
        <v>71</v>
      </c>
      <c r="G86" s="2">
        <f>E86*0.7+F86*0.3</f>
        <v>85</v>
      </c>
      <c r="H86" s="7">
        <v>85</v>
      </c>
    </row>
    <row r="87" spans="1:8" ht="12.45" customHeight="1" x14ac:dyDescent="0.3">
      <c r="A87" s="2" t="s">
        <v>812</v>
      </c>
      <c r="B87" s="2">
        <v>53.5</v>
      </c>
      <c r="C87" s="2">
        <v>4.18</v>
      </c>
      <c r="D87" s="2">
        <v>223.75</v>
      </c>
      <c r="E87" s="6">
        <f>_xlfn.RANK.EQ(C87,C:C,0)</f>
        <v>85</v>
      </c>
      <c r="F87" s="6">
        <f>_xlfn.RANK.EQ(D87,D:D,0)</f>
        <v>94</v>
      </c>
      <c r="G87" s="2">
        <f>E87*0.7+F87*0.3</f>
        <v>87.699999999999989</v>
      </c>
      <c r="H87" s="7">
        <v>86</v>
      </c>
    </row>
    <row r="88" spans="1:8" ht="12.45" customHeight="1" x14ac:dyDescent="0.3">
      <c r="A88" s="2" t="s">
        <v>813</v>
      </c>
      <c r="B88" s="2">
        <v>52</v>
      </c>
      <c r="C88" s="2">
        <v>4.2</v>
      </c>
      <c r="D88" s="2">
        <v>218.55</v>
      </c>
      <c r="E88" s="6">
        <f>_xlfn.RANK.EQ(C88,C:C,0)</f>
        <v>81</v>
      </c>
      <c r="F88" s="6">
        <f>_xlfn.RANK.EQ(D88,D:D,0)</f>
        <v>112</v>
      </c>
      <c r="G88" s="2">
        <f>E88*0.7+F88*0.3</f>
        <v>90.3</v>
      </c>
      <c r="H88" s="7">
        <v>87</v>
      </c>
    </row>
    <row r="89" spans="1:8" ht="12.45" customHeight="1" x14ac:dyDescent="0.3">
      <c r="A89" s="2" t="s">
        <v>814</v>
      </c>
      <c r="B89" s="2">
        <v>47.5</v>
      </c>
      <c r="C89" s="2">
        <v>4.29</v>
      </c>
      <c r="D89" s="2">
        <v>203.55</v>
      </c>
      <c r="E89" s="6">
        <f>_xlfn.RANK.EQ(C89,C:C,0)</f>
        <v>65</v>
      </c>
      <c r="F89" s="6">
        <f>_xlfn.RANK.EQ(D89,D:D,0)</f>
        <v>150</v>
      </c>
      <c r="G89" s="2">
        <f>E89*0.7+F89*0.3</f>
        <v>90.5</v>
      </c>
      <c r="H89" s="7">
        <v>88</v>
      </c>
    </row>
    <row r="90" spans="1:8" ht="12.45" customHeight="1" x14ac:dyDescent="0.3">
      <c r="A90" s="2" t="s">
        <v>815</v>
      </c>
      <c r="B90" s="2">
        <v>60</v>
      </c>
      <c r="C90" s="2">
        <v>4.0599999999999996</v>
      </c>
      <c r="D90" s="2">
        <v>243.85</v>
      </c>
      <c r="E90" s="6">
        <f>_xlfn.RANK.EQ(C90,C:C,0)</f>
        <v>113</v>
      </c>
      <c r="F90" s="6">
        <f>_xlfn.RANK.EQ(D90,D:D,0)</f>
        <v>39</v>
      </c>
      <c r="G90" s="2">
        <f>E90*0.7+F90*0.3</f>
        <v>90.8</v>
      </c>
      <c r="H90" s="7">
        <v>89</v>
      </c>
    </row>
    <row r="91" spans="1:8" ht="12.45" customHeight="1" x14ac:dyDescent="0.3">
      <c r="A91" s="2" t="s">
        <v>816</v>
      </c>
      <c r="B91" s="2">
        <v>52</v>
      </c>
      <c r="C91" s="2">
        <v>4.1900000000000004</v>
      </c>
      <c r="D91" s="2">
        <v>217.65</v>
      </c>
      <c r="E91" s="6">
        <f>_xlfn.RANK.EQ(C91,C:C,0)</f>
        <v>82</v>
      </c>
      <c r="F91" s="6">
        <f>_xlfn.RANK.EQ(D91,D:D,0)</f>
        <v>116</v>
      </c>
      <c r="G91" s="2">
        <f>E91*0.7+F91*0.3</f>
        <v>92.199999999999989</v>
      </c>
      <c r="H91" s="7">
        <v>90</v>
      </c>
    </row>
    <row r="92" spans="1:8" ht="12.45" customHeight="1" x14ac:dyDescent="0.3">
      <c r="A92" s="2" t="s">
        <v>817</v>
      </c>
      <c r="B92" s="2">
        <v>50</v>
      </c>
      <c r="C92" s="2">
        <v>4.24</v>
      </c>
      <c r="D92" s="2">
        <v>211.75</v>
      </c>
      <c r="E92" s="6">
        <f>_xlfn.RANK.EQ(C92,C:C,0)</f>
        <v>76</v>
      </c>
      <c r="F92" s="6">
        <f>_xlfn.RANK.EQ(D92,D:D,0)</f>
        <v>130</v>
      </c>
      <c r="G92" s="2">
        <f>E92*0.7+F92*0.3</f>
        <v>92.199999999999989</v>
      </c>
      <c r="H92" s="7">
        <v>90</v>
      </c>
    </row>
    <row r="93" spans="1:8" ht="12.45" customHeight="1" x14ac:dyDescent="0.3">
      <c r="A93" s="2" t="s">
        <v>818</v>
      </c>
      <c r="B93" s="2">
        <v>47</v>
      </c>
      <c r="C93" s="2">
        <v>4.29</v>
      </c>
      <c r="D93" s="2">
        <v>201.6</v>
      </c>
      <c r="E93" s="6">
        <f>_xlfn.RANK.EQ(C93,C:C,0)</f>
        <v>65</v>
      </c>
      <c r="F93" s="6">
        <f>_xlfn.RANK.EQ(D93,D:D,0)</f>
        <v>156</v>
      </c>
      <c r="G93" s="2">
        <f>E93*0.7+F93*0.3</f>
        <v>92.3</v>
      </c>
      <c r="H93" s="7">
        <v>92</v>
      </c>
    </row>
    <row r="94" spans="1:8" ht="12.45" customHeight="1" x14ac:dyDescent="0.3">
      <c r="A94" s="2" t="s">
        <v>819</v>
      </c>
      <c r="B94" s="2">
        <v>55.5</v>
      </c>
      <c r="C94" s="2">
        <v>4.1100000000000003</v>
      </c>
      <c r="D94" s="2">
        <v>228.15</v>
      </c>
      <c r="E94" s="6">
        <f>_xlfn.RANK.EQ(C94,C:C,0)</f>
        <v>98</v>
      </c>
      <c r="F94" s="6">
        <f>_xlfn.RANK.EQ(D94,D:D,0)</f>
        <v>82</v>
      </c>
      <c r="G94" s="2">
        <f>E94*0.7+F94*0.3</f>
        <v>93.199999999999989</v>
      </c>
      <c r="H94" s="7">
        <v>93</v>
      </c>
    </row>
    <row r="95" spans="1:8" ht="12.45" customHeight="1" x14ac:dyDescent="0.3">
      <c r="A95" s="2" t="s">
        <v>820</v>
      </c>
      <c r="B95" s="2">
        <v>54</v>
      </c>
      <c r="C95" s="2">
        <v>4.12</v>
      </c>
      <c r="D95" s="2">
        <v>222.7</v>
      </c>
      <c r="E95" s="6">
        <f>_xlfn.RANK.EQ(C95,C:C,0)</f>
        <v>93</v>
      </c>
      <c r="F95" s="6">
        <f>_xlfn.RANK.EQ(D95,D:D,0)</f>
        <v>97</v>
      </c>
      <c r="G95" s="2">
        <f>E95*0.7+F95*0.3</f>
        <v>94.199999999999989</v>
      </c>
      <c r="H95" s="7">
        <v>94</v>
      </c>
    </row>
    <row r="96" spans="1:8" ht="12.45" customHeight="1" x14ac:dyDescent="0.3">
      <c r="A96" s="2" t="s">
        <v>821</v>
      </c>
      <c r="B96" s="2">
        <v>54</v>
      </c>
      <c r="C96" s="2">
        <v>4.12</v>
      </c>
      <c r="D96" s="2">
        <v>222.6</v>
      </c>
      <c r="E96" s="6">
        <f>_xlfn.RANK.EQ(C96,C:C,0)</f>
        <v>93</v>
      </c>
      <c r="F96" s="6">
        <f>_xlfn.RANK.EQ(D96,D:D,0)</f>
        <v>98</v>
      </c>
      <c r="G96" s="2">
        <f>E96*0.7+F96*0.3</f>
        <v>94.5</v>
      </c>
      <c r="H96" s="7">
        <v>95</v>
      </c>
    </row>
    <row r="97" spans="1:8" ht="12.45" customHeight="1" x14ac:dyDescent="0.3">
      <c r="A97" s="2" t="s">
        <v>822</v>
      </c>
      <c r="B97" s="2">
        <v>59</v>
      </c>
      <c r="C97" s="2">
        <v>4.0599999999999996</v>
      </c>
      <c r="D97" s="2">
        <v>239.45</v>
      </c>
      <c r="E97" s="6">
        <f>_xlfn.RANK.EQ(C97,C:C,0)</f>
        <v>113</v>
      </c>
      <c r="F97" s="6">
        <f>_xlfn.RANK.EQ(D97,D:D,0)</f>
        <v>52</v>
      </c>
      <c r="G97" s="2">
        <f>E97*0.7+F97*0.3</f>
        <v>94.699999999999989</v>
      </c>
      <c r="H97" s="7">
        <v>96</v>
      </c>
    </row>
    <row r="98" spans="1:8" ht="12.45" customHeight="1" x14ac:dyDescent="0.3">
      <c r="A98" s="2" t="s">
        <v>823</v>
      </c>
      <c r="B98" s="2">
        <v>53.5</v>
      </c>
      <c r="C98" s="2">
        <v>4.12</v>
      </c>
      <c r="D98" s="2">
        <v>220.5</v>
      </c>
      <c r="E98" s="6">
        <f>_xlfn.RANK.EQ(C98,C:C,0)</f>
        <v>93</v>
      </c>
      <c r="F98" s="6">
        <f>_xlfn.RANK.EQ(D98,D:D,0)</f>
        <v>106</v>
      </c>
      <c r="G98" s="2">
        <f>E98*0.7+F98*0.3</f>
        <v>96.899999999999991</v>
      </c>
      <c r="H98" s="7">
        <v>97</v>
      </c>
    </row>
    <row r="99" spans="1:8" ht="12.45" customHeight="1" x14ac:dyDescent="0.3">
      <c r="A99" s="2" t="s">
        <v>824</v>
      </c>
      <c r="B99" s="2">
        <v>56</v>
      </c>
      <c r="C99" s="2">
        <v>4.09</v>
      </c>
      <c r="D99" s="2">
        <v>228.85</v>
      </c>
      <c r="E99" s="6">
        <f>_xlfn.RANK.EQ(C99,C:C,0)</f>
        <v>107</v>
      </c>
      <c r="F99" s="6">
        <f>_xlfn.RANK.EQ(D99,D:D,0)</f>
        <v>77</v>
      </c>
      <c r="G99" s="2">
        <f>E99*0.7+F99*0.3</f>
        <v>97.999999999999986</v>
      </c>
      <c r="H99" s="7">
        <v>98</v>
      </c>
    </row>
    <row r="100" spans="1:8" ht="12.45" customHeight="1" x14ac:dyDescent="0.3">
      <c r="A100" s="2" t="s">
        <v>825</v>
      </c>
      <c r="B100" s="2">
        <v>54</v>
      </c>
      <c r="C100" s="2">
        <v>4.1100000000000003</v>
      </c>
      <c r="D100" s="2">
        <v>221.7</v>
      </c>
      <c r="E100" s="6">
        <f>_xlfn.RANK.EQ(C100,C:C,0)</f>
        <v>98</v>
      </c>
      <c r="F100" s="6">
        <f>_xlfn.RANK.EQ(D100,D:D,0)</f>
        <v>101</v>
      </c>
      <c r="G100" s="2">
        <f>E100*0.7+F100*0.3</f>
        <v>98.899999999999991</v>
      </c>
      <c r="H100" s="7">
        <v>99</v>
      </c>
    </row>
    <row r="101" spans="1:8" ht="12.45" customHeight="1" x14ac:dyDescent="0.3">
      <c r="A101" s="2" t="s">
        <v>826</v>
      </c>
      <c r="B101" s="2">
        <v>53</v>
      </c>
      <c r="C101" s="2">
        <v>4.12</v>
      </c>
      <c r="D101" s="2">
        <v>218.3</v>
      </c>
      <c r="E101" s="6">
        <f>_xlfn.RANK.EQ(C101,C:C,0)</f>
        <v>93</v>
      </c>
      <c r="F101" s="6">
        <f>_xlfn.RANK.EQ(D101,D:D,0)</f>
        <v>113</v>
      </c>
      <c r="G101" s="2">
        <f>E101*0.7+F101*0.3</f>
        <v>99</v>
      </c>
      <c r="H101" s="7">
        <v>100</v>
      </c>
    </row>
    <row r="102" spans="1:8" ht="12.45" customHeight="1" x14ac:dyDescent="0.3">
      <c r="A102" s="2" t="s">
        <v>827</v>
      </c>
      <c r="B102" s="2">
        <v>60.5</v>
      </c>
      <c r="C102" s="2">
        <v>4.0199999999999996</v>
      </c>
      <c r="D102" s="2">
        <v>243.2</v>
      </c>
      <c r="E102" s="6">
        <f>_xlfn.RANK.EQ(C102,C:C,0)</f>
        <v>124</v>
      </c>
      <c r="F102" s="6">
        <f>_xlfn.RANK.EQ(D102,D:D,0)</f>
        <v>41</v>
      </c>
      <c r="G102" s="2">
        <f>E102*0.7+F102*0.3</f>
        <v>99.1</v>
      </c>
      <c r="H102" s="7">
        <v>101</v>
      </c>
    </row>
    <row r="103" spans="1:8" ht="12.45" customHeight="1" x14ac:dyDescent="0.3">
      <c r="A103" s="2" t="s">
        <v>828</v>
      </c>
      <c r="B103" s="2">
        <v>55</v>
      </c>
      <c r="C103" s="2">
        <v>4.0999999999999996</v>
      </c>
      <c r="D103" s="2">
        <v>225.65</v>
      </c>
      <c r="E103" s="6">
        <f>_xlfn.RANK.EQ(C103,C:C,0)</f>
        <v>104</v>
      </c>
      <c r="F103" s="6">
        <f>_xlfn.RANK.EQ(D103,D:D,0)</f>
        <v>88</v>
      </c>
      <c r="G103" s="2">
        <f>E103*0.7+F103*0.3</f>
        <v>99.199999999999989</v>
      </c>
      <c r="H103" s="7">
        <v>102</v>
      </c>
    </row>
    <row r="104" spans="1:8" ht="12.45" customHeight="1" x14ac:dyDescent="0.3">
      <c r="A104" s="2" t="s">
        <v>829</v>
      </c>
      <c r="B104" s="2">
        <v>56.5</v>
      </c>
      <c r="C104" s="2">
        <v>4.07</v>
      </c>
      <c r="D104" s="2">
        <v>229.95</v>
      </c>
      <c r="E104" s="6">
        <f>_xlfn.RANK.EQ(C104,C:C,0)</f>
        <v>111</v>
      </c>
      <c r="F104" s="6">
        <f>_xlfn.RANK.EQ(D104,D:D,0)</f>
        <v>73</v>
      </c>
      <c r="G104" s="2">
        <f>E104*0.7+F104*0.3</f>
        <v>99.6</v>
      </c>
      <c r="H104" s="7">
        <v>103</v>
      </c>
    </row>
    <row r="105" spans="1:8" ht="12.45" customHeight="1" x14ac:dyDescent="0.3">
      <c r="A105" s="2" t="s">
        <v>830</v>
      </c>
      <c r="B105" s="2">
        <v>53.5</v>
      </c>
      <c r="C105" s="2">
        <v>4.1100000000000003</v>
      </c>
      <c r="D105" s="2">
        <v>220.05</v>
      </c>
      <c r="E105" s="6">
        <f>_xlfn.RANK.EQ(C105,C:C,0)</f>
        <v>98</v>
      </c>
      <c r="F105" s="6">
        <f>_xlfn.RANK.EQ(D105,D:D,0)</f>
        <v>109</v>
      </c>
      <c r="G105" s="2">
        <f>E105*0.7+F105*0.3</f>
        <v>101.29999999999998</v>
      </c>
      <c r="H105" s="7">
        <v>104</v>
      </c>
    </row>
    <row r="106" spans="1:8" ht="12.45" customHeight="1" x14ac:dyDescent="0.3">
      <c r="A106" s="2" t="s">
        <v>831</v>
      </c>
      <c r="B106" s="2">
        <v>56</v>
      </c>
      <c r="C106" s="2">
        <v>4.07</v>
      </c>
      <c r="D106" s="2">
        <v>228.15</v>
      </c>
      <c r="E106" s="6">
        <f>_xlfn.RANK.EQ(C106,C:C,0)</f>
        <v>111</v>
      </c>
      <c r="F106" s="6">
        <f>_xlfn.RANK.EQ(D106,D:D,0)</f>
        <v>82</v>
      </c>
      <c r="G106" s="2">
        <f>E106*0.7+F106*0.3</f>
        <v>102.29999999999998</v>
      </c>
      <c r="H106" s="7">
        <v>105</v>
      </c>
    </row>
    <row r="107" spans="1:8" ht="12.45" customHeight="1" x14ac:dyDescent="0.3">
      <c r="A107" s="2" t="s">
        <v>832</v>
      </c>
      <c r="B107" s="2">
        <v>62</v>
      </c>
      <c r="C107" s="2">
        <v>3.97</v>
      </c>
      <c r="D107" s="2">
        <v>246.15</v>
      </c>
      <c r="E107" s="6">
        <f>_xlfn.RANK.EQ(C107,C:C,0)</f>
        <v>132</v>
      </c>
      <c r="F107" s="6">
        <f>_xlfn.RANK.EQ(D107,D:D,0)</f>
        <v>34</v>
      </c>
      <c r="G107" s="2">
        <f>E107*0.7+F107*0.3</f>
        <v>102.6</v>
      </c>
      <c r="H107" s="7">
        <v>106</v>
      </c>
    </row>
    <row r="108" spans="1:8" ht="12.45" customHeight="1" x14ac:dyDescent="0.3">
      <c r="A108" s="2" t="s">
        <v>833</v>
      </c>
      <c r="B108" s="2">
        <v>54.5</v>
      </c>
      <c r="C108" s="2">
        <v>4.09</v>
      </c>
      <c r="D108" s="2">
        <v>223.1</v>
      </c>
      <c r="E108" s="6">
        <f>_xlfn.RANK.EQ(C108,C:C,0)</f>
        <v>107</v>
      </c>
      <c r="F108" s="6">
        <f>_xlfn.RANK.EQ(D108,D:D,0)</f>
        <v>95</v>
      </c>
      <c r="G108" s="2">
        <f>E108*0.7+F108*0.3</f>
        <v>103.39999999999999</v>
      </c>
      <c r="H108" s="7">
        <v>107</v>
      </c>
    </row>
    <row r="109" spans="1:8" ht="12.45" customHeight="1" x14ac:dyDescent="0.3">
      <c r="A109" s="2" t="s">
        <v>834</v>
      </c>
      <c r="B109" s="2">
        <v>48</v>
      </c>
      <c r="C109" s="2">
        <v>4.1900000000000004</v>
      </c>
      <c r="D109" s="2">
        <v>201.1</v>
      </c>
      <c r="E109" s="6">
        <f>_xlfn.RANK.EQ(C109,C:C,0)</f>
        <v>82</v>
      </c>
      <c r="F109" s="6">
        <f>_xlfn.RANK.EQ(D109,D:D,0)</f>
        <v>159</v>
      </c>
      <c r="G109" s="2">
        <f>E109*0.7+F109*0.3</f>
        <v>105.1</v>
      </c>
      <c r="H109" s="7">
        <v>108</v>
      </c>
    </row>
    <row r="110" spans="1:8" ht="12.45" customHeight="1" x14ac:dyDescent="0.3">
      <c r="A110" s="2" t="s">
        <v>835</v>
      </c>
      <c r="B110" s="2">
        <v>54</v>
      </c>
      <c r="C110" s="2">
        <v>4.09</v>
      </c>
      <c r="D110" s="2">
        <v>220.85</v>
      </c>
      <c r="E110" s="6">
        <f>_xlfn.RANK.EQ(C110,C:C,0)</f>
        <v>107</v>
      </c>
      <c r="F110" s="6">
        <f>_xlfn.RANK.EQ(D110,D:D,0)</f>
        <v>103</v>
      </c>
      <c r="G110" s="2">
        <f>E110*0.7+F110*0.3</f>
        <v>105.79999999999998</v>
      </c>
      <c r="H110" s="7">
        <v>109</v>
      </c>
    </row>
    <row r="111" spans="1:8" ht="12.45" customHeight="1" x14ac:dyDescent="0.3">
      <c r="A111" s="2" t="s">
        <v>836</v>
      </c>
      <c r="B111" s="2">
        <v>56.5</v>
      </c>
      <c r="C111" s="2">
        <v>4.05</v>
      </c>
      <c r="D111" s="2">
        <v>228.95</v>
      </c>
      <c r="E111" s="6">
        <f>_xlfn.RANK.EQ(C111,C:C,0)</f>
        <v>119</v>
      </c>
      <c r="F111" s="6">
        <f>_xlfn.RANK.EQ(D111,D:D,0)</f>
        <v>76</v>
      </c>
      <c r="G111" s="2">
        <f>E111*0.7+F111*0.3</f>
        <v>106.1</v>
      </c>
      <c r="H111" s="7">
        <v>110</v>
      </c>
    </row>
    <row r="112" spans="1:8" ht="12.45" customHeight="1" x14ac:dyDescent="0.3">
      <c r="A112" s="2" t="s">
        <v>837</v>
      </c>
      <c r="B112" s="2">
        <v>51.5</v>
      </c>
      <c r="C112" s="2">
        <v>4.1100000000000003</v>
      </c>
      <c r="D112" s="2">
        <v>211.65</v>
      </c>
      <c r="E112" s="6">
        <f>_xlfn.RANK.EQ(C112,C:C,0)</f>
        <v>98</v>
      </c>
      <c r="F112" s="6">
        <f>_xlfn.RANK.EQ(D112,D:D,0)</f>
        <v>131</v>
      </c>
      <c r="G112" s="2">
        <f>E112*0.7+F112*0.3</f>
        <v>107.89999999999999</v>
      </c>
      <c r="H112" s="7">
        <v>111</v>
      </c>
    </row>
    <row r="113" spans="1:8" ht="12.45" customHeight="1" x14ac:dyDescent="0.3">
      <c r="A113" s="2" t="s">
        <v>838</v>
      </c>
      <c r="B113" s="2">
        <v>46.5</v>
      </c>
      <c r="C113" s="2">
        <v>4.21</v>
      </c>
      <c r="D113" s="2">
        <v>195.6</v>
      </c>
      <c r="E113" s="6">
        <f>_xlfn.RANK.EQ(C113,C:C,0)</f>
        <v>79</v>
      </c>
      <c r="F113" s="6">
        <f>_xlfn.RANK.EQ(D113,D:D,0)</f>
        <v>180</v>
      </c>
      <c r="G113" s="2">
        <f>E113*0.7+F113*0.3</f>
        <v>109.3</v>
      </c>
      <c r="H113" s="7">
        <v>112</v>
      </c>
    </row>
    <row r="114" spans="1:8" ht="12.45" customHeight="1" x14ac:dyDescent="0.3">
      <c r="A114" s="2" t="s">
        <v>839</v>
      </c>
      <c r="B114" s="2">
        <v>60.5</v>
      </c>
      <c r="C114" s="2">
        <v>3.96</v>
      </c>
      <c r="D114" s="2">
        <v>239.6</v>
      </c>
      <c r="E114" s="6">
        <f>_xlfn.RANK.EQ(C114,C:C,0)</f>
        <v>136</v>
      </c>
      <c r="F114" s="6">
        <f>_xlfn.RANK.EQ(D114,D:D,0)</f>
        <v>51</v>
      </c>
      <c r="G114" s="2">
        <f>E114*0.7+F114*0.3</f>
        <v>110.49999999999999</v>
      </c>
      <c r="H114" s="7">
        <v>113</v>
      </c>
    </row>
    <row r="115" spans="1:8" ht="12.45" customHeight="1" x14ac:dyDescent="0.3">
      <c r="A115" s="2" t="s">
        <v>840</v>
      </c>
      <c r="B115" s="2">
        <v>50.5</v>
      </c>
      <c r="C115" s="2">
        <v>4.1100000000000003</v>
      </c>
      <c r="D115" s="2">
        <v>207.45</v>
      </c>
      <c r="E115" s="6">
        <f>_xlfn.RANK.EQ(C115,C:C,0)</f>
        <v>98</v>
      </c>
      <c r="F115" s="6">
        <f>_xlfn.RANK.EQ(D115,D:D,0)</f>
        <v>140</v>
      </c>
      <c r="G115" s="2">
        <f>E115*0.7+F115*0.3</f>
        <v>110.6</v>
      </c>
      <c r="H115" s="7">
        <v>114</v>
      </c>
    </row>
    <row r="116" spans="1:8" ht="12.45" customHeight="1" x14ac:dyDescent="0.3">
      <c r="A116" s="2" t="s">
        <v>841</v>
      </c>
      <c r="B116" s="2">
        <v>48</v>
      </c>
      <c r="C116" s="2">
        <v>4.13</v>
      </c>
      <c r="D116" s="2">
        <v>198.3</v>
      </c>
      <c r="E116" s="6">
        <f>_xlfn.RANK.EQ(C116,C:C,0)</f>
        <v>91</v>
      </c>
      <c r="F116" s="6">
        <f>_xlfn.RANK.EQ(D116,D:D,0)</f>
        <v>172</v>
      </c>
      <c r="G116" s="2">
        <f>E116*0.7+F116*0.3</f>
        <v>115.3</v>
      </c>
      <c r="H116" s="7">
        <v>115</v>
      </c>
    </row>
    <row r="117" spans="1:8" ht="12.45" customHeight="1" x14ac:dyDescent="0.3">
      <c r="A117" s="2" t="s">
        <v>842</v>
      </c>
      <c r="B117" s="2">
        <v>53</v>
      </c>
      <c r="C117" s="2">
        <v>4.0599999999999996</v>
      </c>
      <c r="D117" s="2">
        <v>215</v>
      </c>
      <c r="E117" s="6">
        <f>_xlfn.RANK.EQ(C117,C:C,0)</f>
        <v>113</v>
      </c>
      <c r="F117" s="6">
        <f>_xlfn.RANK.EQ(D117,D:D,0)</f>
        <v>124</v>
      </c>
      <c r="G117" s="2">
        <f>E117*0.7+F117*0.3</f>
        <v>116.29999999999998</v>
      </c>
      <c r="H117" s="7">
        <v>116</v>
      </c>
    </row>
    <row r="118" spans="1:8" ht="12.45" customHeight="1" x14ac:dyDescent="0.3">
      <c r="A118" s="2" t="s">
        <v>843</v>
      </c>
      <c r="B118" s="2">
        <v>56.5</v>
      </c>
      <c r="C118" s="2">
        <v>3.99</v>
      </c>
      <c r="D118" s="2">
        <v>225.3</v>
      </c>
      <c r="E118" s="6">
        <f>_xlfn.RANK.EQ(C118,C:C,0)</f>
        <v>128</v>
      </c>
      <c r="F118" s="6">
        <f>_xlfn.RANK.EQ(D118,D:D,0)</f>
        <v>90</v>
      </c>
      <c r="G118" s="2">
        <f>E118*0.7+F118*0.3</f>
        <v>116.6</v>
      </c>
      <c r="H118" s="7">
        <v>117</v>
      </c>
    </row>
    <row r="119" spans="1:8" ht="12.45" customHeight="1" x14ac:dyDescent="0.3">
      <c r="A119" s="2" t="s">
        <v>844</v>
      </c>
      <c r="B119" s="2">
        <v>50</v>
      </c>
      <c r="C119" s="2">
        <v>4.0999999999999996</v>
      </c>
      <c r="D119" s="2">
        <v>204.95</v>
      </c>
      <c r="E119" s="6">
        <f>_xlfn.RANK.EQ(C119,C:C,0)</f>
        <v>104</v>
      </c>
      <c r="F119" s="6">
        <f>_xlfn.RANK.EQ(D119,D:D,0)</f>
        <v>147</v>
      </c>
      <c r="G119" s="2">
        <f>E119*0.7+F119*0.3</f>
        <v>116.9</v>
      </c>
      <c r="H119" s="7">
        <v>118</v>
      </c>
    </row>
    <row r="120" spans="1:8" ht="12.45" customHeight="1" x14ac:dyDescent="0.3">
      <c r="A120" s="2" t="s">
        <v>845</v>
      </c>
      <c r="B120" s="2">
        <v>46.5</v>
      </c>
      <c r="C120" s="2">
        <v>4.1500000000000004</v>
      </c>
      <c r="D120" s="2">
        <v>193</v>
      </c>
      <c r="E120" s="6">
        <f>_xlfn.RANK.EQ(C120,C:C,0)</f>
        <v>89</v>
      </c>
      <c r="F120" s="6">
        <f>_xlfn.RANK.EQ(D120,D:D,0)</f>
        <v>186</v>
      </c>
      <c r="G120" s="2">
        <f>E120*0.7+F120*0.3</f>
        <v>118.1</v>
      </c>
      <c r="H120" s="7">
        <v>119</v>
      </c>
    </row>
    <row r="121" spans="1:8" ht="12.45" customHeight="1" x14ac:dyDescent="0.3">
      <c r="A121" s="2" t="s">
        <v>846</v>
      </c>
      <c r="B121" s="2">
        <v>54</v>
      </c>
      <c r="C121" s="2">
        <v>4.03</v>
      </c>
      <c r="D121" s="2">
        <v>217.75</v>
      </c>
      <c r="E121" s="6">
        <f>_xlfn.RANK.EQ(C121,C:C,0)</f>
        <v>121</v>
      </c>
      <c r="F121" s="6">
        <f>_xlfn.RANK.EQ(D121,D:D,0)</f>
        <v>115</v>
      </c>
      <c r="G121" s="2">
        <f>E121*0.7+F121*0.3</f>
        <v>119.19999999999999</v>
      </c>
      <c r="H121" s="7">
        <v>120</v>
      </c>
    </row>
    <row r="122" spans="1:8" ht="12.45" customHeight="1" x14ac:dyDescent="0.3">
      <c r="A122" s="2" t="s">
        <v>847</v>
      </c>
      <c r="B122" s="2">
        <v>52</v>
      </c>
      <c r="C122" s="2">
        <v>4.0599999999999996</v>
      </c>
      <c r="D122" s="2">
        <v>210.9</v>
      </c>
      <c r="E122" s="6">
        <f>_xlfn.RANK.EQ(C122,C:C,0)</f>
        <v>113</v>
      </c>
      <c r="F122" s="6">
        <f>_xlfn.RANK.EQ(D122,D:D,0)</f>
        <v>134</v>
      </c>
      <c r="G122" s="2">
        <f>E122*0.7+F122*0.3</f>
        <v>119.29999999999998</v>
      </c>
      <c r="H122" s="7">
        <v>121</v>
      </c>
    </row>
    <row r="123" spans="1:8" ht="12.45" customHeight="1" x14ac:dyDescent="0.3">
      <c r="A123" s="2" t="s">
        <v>848</v>
      </c>
      <c r="B123" s="2">
        <v>54.5</v>
      </c>
      <c r="C123" s="2">
        <v>4.0199999999999996</v>
      </c>
      <c r="D123" s="2">
        <v>218.95</v>
      </c>
      <c r="E123" s="6">
        <f>_xlfn.RANK.EQ(C123,C:C,0)</f>
        <v>124</v>
      </c>
      <c r="F123" s="6">
        <f>_xlfn.RANK.EQ(D123,D:D,0)</f>
        <v>110</v>
      </c>
      <c r="G123" s="2">
        <f>E123*0.7+F123*0.3</f>
        <v>119.8</v>
      </c>
      <c r="H123" s="7">
        <v>122</v>
      </c>
    </row>
    <row r="124" spans="1:8" ht="12.45" customHeight="1" x14ac:dyDescent="0.3">
      <c r="A124" s="2" t="s">
        <v>849</v>
      </c>
      <c r="B124" s="2">
        <v>50.5</v>
      </c>
      <c r="C124" s="2">
        <v>4.0599999999999996</v>
      </c>
      <c r="D124" s="2">
        <v>205.1</v>
      </c>
      <c r="E124" s="6">
        <f>_xlfn.RANK.EQ(C124,C:C,0)</f>
        <v>113</v>
      </c>
      <c r="F124" s="6">
        <f>_xlfn.RANK.EQ(D124,D:D,0)</f>
        <v>146</v>
      </c>
      <c r="G124" s="2">
        <f>E124*0.7+F124*0.3</f>
        <v>122.89999999999999</v>
      </c>
      <c r="H124" s="7">
        <v>123</v>
      </c>
    </row>
    <row r="125" spans="1:8" ht="12.45" customHeight="1" x14ac:dyDescent="0.3">
      <c r="A125" s="2" t="s">
        <v>850</v>
      </c>
      <c r="B125" s="2">
        <v>55</v>
      </c>
      <c r="C125" s="2">
        <v>3.98</v>
      </c>
      <c r="D125" s="2">
        <v>218.7</v>
      </c>
      <c r="E125" s="6">
        <f>_xlfn.RANK.EQ(C125,C:C,0)</f>
        <v>130</v>
      </c>
      <c r="F125" s="6">
        <f>_xlfn.RANK.EQ(D125,D:D,0)</f>
        <v>111</v>
      </c>
      <c r="G125" s="2">
        <f>E125*0.7+F125*0.3</f>
        <v>124.3</v>
      </c>
      <c r="H125" s="7">
        <v>124</v>
      </c>
    </row>
    <row r="126" spans="1:8" ht="12.45" customHeight="1" x14ac:dyDescent="0.3">
      <c r="A126" s="2" t="s">
        <v>851</v>
      </c>
      <c r="B126" s="2">
        <v>58.5</v>
      </c>
      <c r="C126" s="2">
        <v>3.9</v>
      </c>
      <c r="D126" s="2">
        <v>228.3</v>
      </c>
      <c r="E126" s="6">
        <f>_xlfn.RANK.EQ(C126,C:C,0)</f>
        <v>143</v>
      </c>
      <c r="F126" s="6">
        <f>_xlfn.RANK.EQ(D126,D:D,0)</f>
        <v>81</v>
      </c>
      <c r="G126" s="2">
        <f>E126*0.7+F126*0.3</f>
        <v>124.39999999999999</v>
      </c>
      <c r="H126" s="7">
        <v>125</v>
      </c>
    </row>
    <row r="127" spans="1:8" ht="12.45" customHeight="1" x14ac:dyDescent="0.3">
      <c r="A127" s="2" t="s">
        <v>852</v>
      </c>
      <c r="B127" s="2">
        <v>53</v>
      </c>
      <c r="C127" s="2">
        <v>4.0199999999999996</v>
      </c>
      <c r="D127" s="2">
        <v>213.3</v>
      </c>
      <c r="E127" s="6">
        <f>_xlfn.RANK.EQ(C127,C:C,0)</f>
        <v>124</v>
      </c>
      <c r="F127" s="6">
        <f>_xlfn.RANK.EQ(D127,D:D,0)</f>
        <v>127</v>
      </c>
      <c r="G127" s="2">
        <f>E127*0.7+F127*0.3</f>
        <v>124.9</v>
      </c>
      <c r="H127" s="7">
        <v>126</v>
      </c>
    </row>
    <row r="128" spans="1:8" ht="12.45" customHeight="1" x14ac:dyDescent="0.3">
      <c r="A128" s="2" t="s">
        <v>853</v>
      </c>
      <c r="B128" s="2">
        <v>51</v>
      </c>
      <c r="C128" s="2">
        <v>4.05</v>
      </c>
      <c r="D128" s="2">
        <v>206.7</v>
      </c>
      <c r="E128" s="6">
        <f>_xlfn.RANK.EQ(C128,C:C,0)</f>
        <v>119</v>
      </c>
      <c r="F128" s="6">
        <f>_xlfn.RANK.EQ(D128,D:D,0)</f>
        <v>142</v>
      </c>
      <c r="G128" s="2">
        <f>E128*0.7+F128*0.3</f>
        <v>125.9</v>
      </c>
      <c r="H128" s="7">
        <v>127</v>
      </c>
    </row>
    <row r="129" spans="1:8" ht="12.45" customHeight="1" x14ac:dyDescent="0.3">
      <c r="A129" s="2" t="s">
        <v>854</v>
      </c>
      <c r="B129" s="2">
        <v>54.5</v>
      </c>
      <c r="C129" s="2">
        <v>3.98</v>
      </c>
      <c r="D129" s="2">
        <v>216.8</v>
      </c>
      <c r="E129" s="6">
        <f>_xlfn.RANK.EQ(C129,C:C,0)</f>
        <v>130</v>
      </c>
      <c r="F129" s="6">
        <f>_xlfn.RANK.EQ(D129,D:D,0)</f>
        <v>118</v>
      </c>
      <c r="G129" s="2">
        <f>E129*0.7+F129*0.3</f>
        <v>126.4</v>
      </c>
      <c r="H129" s="7">
        <v>128</v>
      </c>
    </row>
    <row r="130" spans="1:8" ht="12.45" customHeight="1" x14ac:dyDescent="0.3">
      <c r="A130" s="2" t="s">
        <v>855</v>
      </c>
      <c r="B130" s="2">
        <v>54.5</v>
      </c>
      <c r="C130" s="2">
        <v>3.97</v>
      </c>
      <c r="D130" s="2">
        <v>216.3</v>
      </c>
      <c r="E130" s="6">
        <f>_xlfn.RANK.EQ(C130,C:C,0)</f>
        <v>132</v>
      </c>
      <c r="F130" s="6">
        <f>_xlfn.RANK.EQ(D130,D:D,0)</f>
        <v>121</v>
      </c>
      <c r="G130" s="2">
        <f>E130*0.7+F130*0.3</f>
        <v>128.69999999999999</v>
      </c>
      <c r="H130" s="7">
        <v>129</v>
      </c>
    </row>
    <row r="131" spans="1:8" ht="12.45" customHeight="1" x14ac:dyDescent="0.3">
      <c r="A131" s="2" t="s">
        <v>856</v>
      </c>
      <c r="B131" s="2">
        <v>52</v>
      </c>
      <c r="C131" s="2">
        <v>3.99</v>
      </c>
      <c r="D131" s="2">
        <v>211.25</v>
      </c>
      <c r="E131" s="6">
        <f>_xlfn.RANK.EQ(C131,C:C,0)</f>
        <v>128</v>
      </c>
      <c r="F131" s="6">
        <f>_xlfn.RANK.EQ(D131,D:D,0)</f>
        <v>132</v>
      </c>
      <c r="G131" s="2">
        <f>E131*0.7+F131*0.3</f>
        <v>129.19999999999999</v>
      </c>
      <c r="H131" s="7">
        <v>130</v>
      </c>
    </row>
    <row r="132" spans="1:8" ht="12.45" customHeight="1" x14ac:dyDescent="0.3">
      <c r="A132" s="2" t="s">
        <v>857</v>
      </c>
      <c r="B132" s="2">
        <v>48</v>
      </c>
      <c r="C132" s="2">
        <v>4.08</v>
      </c>
      <c r="D132" s="2">
        <v>196</v>
      </c>
      <c r="E132" s="6">
        <f>_xlfn.RANK.EQ(C132,C:C,0)</f>
        <v>110</v>
      </c>
      <c r="F132" s="6">
        <f>_xlfn.RANK.EQ(D132,D:D,0)</f>
        <v>178</v>
      </c>
      <c r="G132" s="2">
        <f>E132*0.7+F132*0.3</f>
        <v>130.4</v>
      </c>
      <c r="H132" s="7">
        <v>131</v>
      </c>
    </row>
    <row r="133" spans="1:8" ht="12.45" customHeight="1" x14ac:dyDescent="0.3">
      <c r="A133" s="2" t="s">
        <v>858</v>
      </c>
      <c r="B133" s="2">
        <v>56.5</v>
      </c>
      <c r="C133" s="2">
        <v>3.9</v>
      </c>
      <c r="D133" s="2">
        <v>220.5</v>
      </c>
      <c r="E133" s="6">
        <f>_xlfn.RANK.EQ(C133,C:C,0)</f>
        <v>143</v>
      </c>
      <c r="F133" s="6">
        <f>_xlfn.RANK.EQ(D133,D:D,0)</f>
        <v>106</v>
      </c>
      <c r="G133" s="2">
        <f>E133*0.7+F133*0.3</f>
        <v>131.89999999999998</v>
      </c>
      <c r="H133" s="7">
        <v>132</v>
      </c>
    </row>
    <row r="134" spans="1:8" ht="12.45" customHeight="1" x14ac:dyDescent="0.3">
      <c r="A134" s="2" t="s">
        <v>859</v>
      </c>
      <c r="B134" s="2">
        <v>55.5</v>
      </c>
      <c r="C134" s="2">
        <v>3.92</v>
      </c>
      <c r="D134" s="2">
        <v>217.5</v>
      </c>
      <c r="E134" s="6">
        <f>_xlfn.RANK.EQ(C134,C:C,0)</f>
        <v>139</v>
      </c>
      <c r="F134" s="6">
        <f>_xlfn.RANK.EQ(D134,D:D,0)</f>
        <v>117</v>
      </c>
      <c r="G134" s="2">
        <f>E134*0.7+F134*0.3</f>
        <v>132.4</v>
      </c>
      <c r="H134" s="7">
        <v>133</v>
      </c>
    </row>
    <row r="135" spans="1:8" ht="12.45" customHeight="1" x14ac:dyDescent="0.3">
      <c r="A135" s="2" t="s">
        <v>860</v>
      </c>
      <c r="B135" s="2">
        <v>55</v>
      </c>
      <c r="C135" s="2">
        <v>3.93</v>
      </c>
      <c r="D135" s="2">
        <v>215.9</v>
      </c>
      <c r="E135" s="6">
        <f>_xlfn.RANK.EQ(C135,C:C,0)</f>
        <v>138</v>
      </c>
      <c r="F135" s="6">
        <f>_xlfn.RANK.EQ(D135,D:D,0)</f>
        <v>122</v>
      </c>
      <c r="G135" s="2">
        <f>E135*0.7+F135*0.3</f>
        <v>133.19999999999999</v>
      </c>
      <c r="H135" s="7">
        <v>134</v>
      </c>
    </row>
    <row r="136" spans="1:8" ht="12.45" customHeight="1" x14ac:dyDescent="0.3">
      <c r="A136" s="2" t="s">
        <v>861</v>
      </c>
      <c r="B136" s="2">
        <v>56</v>
      </c>
      <c r="C136" s="2">
        <v>3.9</v>
      </c>
      <c r="D136" s="2">
        <v>218.15</v>
      </c>
      <c r="E136" s="6">
        <f>_xlfn.RANK.EQ(C136,C:C,0)</f>
        <v>143</v>
      </c>
      <c r="F136" s="6">
        <f>_xlfn.RANK.EQ(D136,D:D,0)</f>
        <v>114</v>
      </c>
      <c r="G136" s="2">
        <f>E136*0.7+F136*0.3</f>
        <v>134.29999999999998</v>
      </c>
      <c r="H136" s="7">
        <v>135</v>
      </c>
    </row>
    <row r="137" spans="1:8" ht="12.45" customHeight="1" x14ac:dyDescent="0.3">
      <c r="A137" s="2" t="s">
        <v>862</v>
      </c>
      <c r="B137" s="2">
        <v>49.5</v>
      </c>
      <c r="C137" s="2">
        <v>4.03</v>
      </c>
      <c r="D137" s="2">
        <v>199.5</v>
      </c>
      <c r="E137" s="6">
        <f>_xlfn.RANK.EQ(C137,C:C,0)</f>
        <v>121</v>
      </c>
      <c r="F137" s="6">
        <f>_xlfn.RANK.EQ(D137,D:D,0)</f>
        <v>166</v>
      </c>
      <c r="G137" s="2">
        <f>E137*0.7+F137*0.3</f>
        <v>134.5</v>
      </c>
      <c r="H137" s="7">
        <v>136</v>
      </c>
    </row>
    <row r="138" spans="1:8" ht="12.45" customHeight="1" x14ac:dyDescent="0.3">
      <c r="A138" s="2" t="s">
        <v>863</v>
      </c>
      <c r="B138" s="2">
        <v>55</v>
      </c>
      <c r="C138" s="2">
        <v>3.91</v>
      </c>
      <c r="D138" s="2">
        <v>214.8</v>
      </c>
      <c r="E138" s="6">
        <f>_xlfn.RANK.EQ(C138,C:C,0)</f>
        <v>140</v>
      </c>
      <c r="F138" s="6">
        <f>_xlfn.RANK.EQ(D138,D:D,0)</f>
        <v>125</v>
      </c>
      <c r="G138" s="2">
        <f>E138*0.7+F138*0.3</f>
        <v>135.5</v>
      </c>
      <c r="H138" s="7">
        <v>137</v>
      </c>
    </row>
    <row r="139" spans="1:8" ht="12.45" customHeight="1" x14ac:dyDescent="0.3">
      <c r="A139" s="2" t="s">
        <v>864</v>
      </c>
      <c r="B139" s="2">
        <v>57.5</v>
      </c>
      <c r="C139" s="2">
        <v>3.87</v>
      </c>
      <c r="D139" s="2">
        <v>222.75</v>
      </c>
      <c r="E139" s="6">
        <f>_xlfn.RANK.EQ(C139,C:C,0)</f>
        <v>153</v>
      </c>
      <c r="F139" s="6">
        <f>_xlfn.RANK.EQ(D139,D:D,0)</f>
        <v>96</v>
      </c>
      <c r="G139" s="2">
        <f>E139*0.7+F139*0.3</f>
        <v>135.89999999999998</v>
      </c>
      <c r="H139" s="7">
        <v>138</v>
      </c>
    </row>
    <row r="140" spans="1:8" ht="12.45" customHeight="1" x14ac:dyDescent="0.3">
      <c r="A140" s="2" t="s">
        <v>865</v>
      </c>
      <c r="B140" s="2">
        <v>55.5</v>
      </c>
      <c r="C140" s="2">
        <v>3.9</v>
      </c>
      <c r="D140" s="2">
        <v>216.45</v>
      </c>
      <c r="E140" s="6">
        <f>_xlfn.RANK.EQ(C140,C:C,0)</f>
        <v>143</v>
      </c>
      <c r="F140" s="6">
        <f>_xlfn.RANK.EQ(D140,D:D,0)</f>
        <v>120</v>
      </c>
      <c r="G140" s="2">
        <f>E140*0.7+F140*0.3</f>
        <v>136.1</v>
      </c>
      <c r="H140" s="7">
        <v>139</v>
      </c>
    </row>
    <row r="141" spans="1:8" ht="12.45" customHeight="1" x14ac:dyDescent="0.3">
      <c r="A141" s="2" t="s">
        <v>866</v>
      </c>
      <c r="B141" s="2">
        <v>54.5</v>
      </c>
      <c r="C141" s="2">
        <v>3.91</v>
      </c>
      <c r="D141" s="2">
        <v>213.1</v>
      </c>
      <c r="E141" s="6">
        <f>_xlfn.RANK.EQ(C141,C:C,0)</f>
        <v>140</v>
      </c>
      <c r="F141" s="6">
        <f>_xlfn.RANK.EQ(D141,D:D,0)</f>
        <v>128</v>
      </c>
      <c r="G141" s="2">
        <f>E141*0.7+F141*0.3</f>
        <v>136.4</v>
      </c>
      <c r="H141" s="7">
        <v>140</v>
      </c>
    </row>
    <row r="142" spans="1:8" ht="12.45" customHeight="1" x14ac:dyDescent="0.3">
      <c r="A142" s="2" t="s">
        <v>867</v>
      </c>
      <c r="B142" s="2">
        <v>50</v>
      </c>
      <c r="C142" s="2">
        <v>4.01</v>
      </c>
      <c r="D142" s="2">
        <v>200.3</v>
      </c>
      <c r="E142" s="6">
        <f>_xlfn.RANK.EQ(C142,C:C,0)</f>
        <v>127</v>
      </c>
      <c r="F142" s="6">
        <f>_xlfn.RANK.EQ(D142,D:D,0)</f>
        <v>163</v>
      </c>
      <c r="G142" s="2">
        <f>E142*0.7+F142*0.3</f>
        <v>137.79999999999998</v>
      </c>
      <c r="H142" s="7">
        <v>141</v>
      </c>
    </row>
    <row r="143" spans="1:8" ht="12.45" customHeight="1" x14ac:dyDescent="0.3">
      <c r="A143" s="2" t="s">
        <v>868</v>
      </c>
      <c r="B143" s="2">
        <v>55.5</v>
      </c>
      <c r="C143" s="2">
        <v>3.89</v>
      </c>
      <c r="D143" s="2">
        <v>215.8</v>
      </c>
      <c r="E143" s="6">
        <f>_xlfn.RANK.EQ(C143,C:C,0)</f>
        <v>148</v>
      </c>
      <c r="F143" s="6">
        <f>_xlfn.RANK.EQ(D143,D:D,0)</f>
        <v>123</v>
      </c>
      <c r="G143" s="2">
        <f>E143*0.7+F143*0.3</f>
        <v>140.5</v>
      </c>
      <c r="H143" s="7">
        <v>142</v>
      </c>
    </row>
    <row r="144" spans="1:8" ht="12.45" customHeight="1" x14ac:dyDescent="0.3">
      <c r="A144" s="2" t="s">
        <v>869</v>
      </c>
      <c r="B144" s="2">
        <v>50.5</v>
      </c>
      <c r="C144" s="2">
        <v>3.97</v>
      </c>
      <c r="D144" s="2">
        <v>200.7</v>
      </c>
      <c r="E144" s="6">
        <f>_xlfn.RANK.EQ(C144,C:C,0)</f>
        <v>132</v>
      </c>
      <c r="F144" s="6">
        <f>_xlfn.RANK.EQ(D144,D:D,0)</f>
        <v>161</v>
      </c>
      <c r="G144" s="2">
        <f>E144*0.7+F144*0.3</f>
        <v>140.69999999999999</v>
      </c>
      <c r="H144" s="7">
        <v>143</v>
      </c>
    </row>
    <row r="145" spans="1:8" ht="12.45" customHeight="1" x14ac:dyDescent="0.3">
      <c r="A145" s="2" t="s">
        <v>870</v>
      </c>
      <c r="B145" s="2">
        <v>47.5</v>
      </c>
      <c r="C145" s="2">
        <v>4.03</v>
      </c>
      <c r="D145" s="2">
        <v>191.2</v>
      </c>
      <c r="E145" s="6">
        <f>_xlfn.RANK.EQ(C145,C:C,0)</f>
        <v>121</v>
      </c>
      <c r="F145" s="6">
        <f>_xlfn.RANK.EQ(D145,D:D,0)</f>
        <v>193</v>
      </c>
      <c r="G145" s="2">
        <f>E145*0.7+F145*0.3</f>
        <v>142.6</v>
      </c>
      <c r="H145" s="7">
        <v>144</v>
      </c>
    </row>
    <row r="146" spans="1:8" ht="12.45" customHeight="1" x14ac:dyDescent="0.3">
      <c r="A146" s="2" t="s">
        <v>871</v>
      </c>
      <c r="B146" s="2">
        <v>52</v>
      </c>
      <c r="C146" s="2">
        <v>3.91</v>
      </c>
      <c r="D146" s="2">
        <v>203.1</v>
      </c>
      <c r="E146" s="6">
        <f>_xlfn.RANK.EQ(C146,C:C,0)</f>
        <v>140</v>
      </c>
      <c r="F146" s="6">
        <f>_xlfn.RANK.EQ(D146,D:D,0)</f>
        <v>152</v>
      </c>
      <c r="G146" s="2">
        <f>E146*0.7+F146*0.3</f>
        <v>143.6</v>
      </c>
      <c r="H146" s="7">
        <v>145</v>
      </c>
    </row>
    <row r="147" spans="1:8" ht="12.45" customHeight="1" x14ac:dyDescent="0.3">
      <c r="A147" s="2" t="s">
        <v>872</v>
      </c>
      <c r="B147" s="2">
        <v>50.5</v>
      </c>
      <c r="C147" s="2">
        <v>3.96</v>
      </c>
      <c r="D147" s="2">
        <v>200</v>
      </c>
      <c r="E147" s="6">
        <f>_xlfn.RANK.EQ(C147,C:C,0)</f>
        <v>136</v>
      </c>
      <c r="F147" s="6">
        <f>_xlfn.RANK.EQ(D147,D:D,0)</f>
        <v>164</v>
      </c>
      <c r="G147" s="2">
        <f>E147*0.7+F147*0.3</f>
        <v>144.39999999999998</v>
      </c>
      <c r="H147" s="7">
        <v>146</v>
      </c>
    </row>
    <row r="148" spans="1:8" ht="12.45" customHeight="1" x14ac:dyDescent="0.3">
      <c r="A148" s="2" t="s">
        <v>873</v>
      </c>
      <c r="B148" s="2">
        <v>43.5</v>
      </c>
      <c r="C148" s="2">
        <v>4.0599999999999996</v>
      </c>
      <c r="D148" s="2">
        <v>176.7</v>
      </c>
      <c r="E148" s="6">
        <f>_xlfn.RANK.EQ(C148,C:C,0)</f>
        <v>113</v>
      </c>
      <c r="F148" s="6">
        <f>_xlfn.RANK.EQ(D148,D:D,0)</f>
        <v>225</v>
      </c>
      <c r="G148" s="2">
        <f>E148*0.7+F148*0.3</f>
        <v>146.6</v>
      </c>
      <c r="H148" s="7">
        <v>147</v>
      </c>
    </row>
    <row r="149" spans="1:8" ht="12.45" customHeight="1" x14ac:dyDescent="0.3">
      <c r="A149" s="2" t="s">
        <v>874</v>
      </c>
      <c r="B149" s="2">
        <v>55.5</v>
      </c>
      <c r="C149" s="2">
        <v>3.85</v>
      </c>
      <c r="D149" s="2">
        <v>213.4</v>
      </c>
      <c r="E149" s="6">
        <f>_xlfn.RANK.EQ(C149,C:C,0)</f>
        <v>156</v>
      </c>
      <c r="F149" s="6">
        <f>_xlfn.RANK.EQ(D149,D:D,0)</f>
        <v>126</v>
      </c>
      <c r="G149" s="2">
        <f>E149*0.7+F149*0.3</f>
        <v>147</v>
      </c>
      <c r="H149" s="7">
        <v>148</v>
      </c>
    </row>
    <row r="150" spans="1:8" ht="12.45" customHeight="1" x14ac:dyDescent="0.3">
      <c r="A150" s="2" t="s">
        <v>875</v>
      </c>
      <c r="B150" s="2">
        <v>51.5</v>
      </c>
      <c r="C150" s="2">
        <v>3.9</v>
      </c>
      <c r="D150" s="2">
        <v>200.85</v>
      </c>
      <c r="E150" s="6">
        <f>_xlfn.RANK.EQ(C150,C:C,0)</f>
        <v>143</v>
      </c>
      <c r="F150" s="6">
        <f>_xlfn.RANK.EQ(D150,D:D,0)</f>
        <v>160</v>
      </c>
      <c r="G150" s="2">
        <f>E150*0.7+F150*0.3</f>
        <v>148.1</v>
      </c>
      <c r="H150" s="7">
        <v>149</v>
      </c>
    </row>
    <row r="151" spans="1:8" ht="12.45" customHeight="1" x14ac:dyDescent="0.3">
      <c r="A151" s="2" t="s">
        <v>876</v>
      </c>
      <c r="B151" s="2">
        <v>53.5</v>
      </c>
      <c r="C151" s="2">
        <v>3.86</v>
      </c>
      <c r="D151" s="2">
        <v>206.25</v>
      </c>
      <c r="E151" s="6">
        <f>_xlfn.RANK.EQ(C151,C:C,0)</f>
        <v>154</v>
      </c>
      <c r="F151" s="6">
        <f>_xlfn.RANK.EQ(D151,D:D,0)</f>
        <v>144</v>
      </c>
      <c r="G151" s="2">
        <f>E151*0.7+F151*0.3</f>
        <v>151</v>
      </c>
      <c r="H151" s="7">
        <v>150</v>
      </c>
    </row>
    <row r="152" spans="1:8" ht="12.45" customHeight="1" x14ac:dyDescent="0.3">
      <c r="A152" s="2" t="s">
        <v>877</v>
      </c>
      <c r="B152" s="2">
        <v>47.5</v>
      </c>
      <c r="C152" s="2">
        <v>3.97</v>
      </c>
      <c r="D152" s="2">
        <v>188.55</v>
      </c>
      <c r="E152" s="6">
        <f>_xlfn.RANK.EQ(C152,C:C,0)</f>
        <v>132</v>
      </c>
      <c r="F152" s="6">
        <f>_xlfn.RANK.EQ(D152,D:D,0)</f>
        <v>199</v>
      </c>
      <c r="G152" s="2">
        <f>E152*0.7+F152*0.3</f>
        <v>152.1</v>
      </c>
      <c r="H152" s="7">
        <v>151</v>
      </c>
    </row>
    <row r="153" spans="1:8" ht="12.45" customHeight="1" x14ac:dyDescent="0.3">
      <c r="A153" s="2" t="s">
        <v>878</v>
      </c>
      <c r="B153" s="2">
        <v>54.5</v>
      </c>
      <c r="C153" s="2">
        <v>3.81</v>
      </c>
      <c r="D153" s="2">
        <v>207.9</v>
      </c>
      <c r="E153" s="6">
        <f>_xlfn.RANK.EQ(C153,C:C,0)</f>
        <v>161</v>
      </c>
      <c r="F153" s="6">
        <f>_xlfn.RANK.EQ(D153,D:D,0)</f>
        <v>139</v>
      </c>
      <c r="G153" s="2">
        <f>E153*0.7+F153*0.3</f>
        <v>154.39999999999998</v>
      </c>
      <c r="H153" s="7">
        <v>152</v>
      </c>
    </row>
    <row r="154" spans="1:8" ht="12.45" customHeight="1" x14ac:dyDescent="0.3">
      <c r="A154" s="2" t="s">
        <v>879</v>
      </c>
      <c r="B154" s="2">
        <v>51</v>
      </c>
      <c r="C154" s="2">
        <v>3.89</v>
      </c>
      <c r="D154" s="2">
        <v>198.6</v>
      </c>
      <c r="E154" s="6">
        <f>_xlfn.RANK.EQ(C154,C:C,0)</f>
        <v>148</v>
      </c>
      <c r="F154" s="6">
        <f>_xlfn.RANK.EQ(D154,D:D,0)</f>
        <v>170</v>
      </c>
      <c r="G154" s="2">
        <f>E154*0.7+F154*0.3</f>
        <v>154.6</v>
      </c>
      <c r="H154" s="7">
        <v>153</v>
      </c>
    </row>
    <row r="155" spans="1:8" ht="12.45" customHeight="1" x14ac:dyDescent="0.3">
      <c r="A155" s="2" t="s">
        <v>880</v>
      </c>
      <c r="B155" s="2">
        <v>53.5</v>
      </c>
      <c r="C155" s="2">
        <v>3.84</v>
      </c>
      <c r="D155" s="2">
        <v>205.5</v>
      </c>
      <c r="E155" s="6">
        <f>_xlfn.RANK.EQ(C155,C:C,0)</f>
        <v>159</v>
      </c>
      <c r="F155" s="6">
        <f>_xlfn.RANK.EQ(D155,D:D,0)</f>
        <v>145</v>
      </c>
      <c r="G155" s="2">
        <f>E155*0.7+F155*0.3</f>
        <v>154.80000000000001</v>
      </c>
      <c r="H155" s="7">
        <v>154</v>
      </c>
    </row>
    <row r="156" spans="1:8" ht="12.45" customHeight="1" x14ac:dyDescent="0.3">
      <c r="A156" s="2" t="s">
        <v>881</v>
      </c>
      <c r="B156" s="2">
        <v>51.5</v>
      </c>
      <c r="C156" s="2">
        <v>3.88</v>
      </c>
      <c r="D156" s="2">
        <v>199.95</v>
      </c>
      <c r="E156" s="6">
        <f>_xlfn.RANK.EQ(C156,C:C,0)</f>
        <v>151</v>
      </c>
      <c r="F156" s="6">
        <f>_xlfn.RANK.EQ(D156,D:D,0)</f>
        <v>165</v>
      </c>
      <c r="G156" s="2">
        <f>E156*0.7+F156*0.3</f>
        <v>155.19999999999999</v>
      </c>
      <c r="H156" s="7">
        <v>155</v>
      </c>
    </row>
    <row r="157" spans="1:8" ht="12.45" customHeight="1" x14ac:dyDescent="0.3">
      <c r="A157" s="2" t="s">
        <v>882</v>
      </c>
      <c r="B157" s="2">
        <v>52.5</v>
      </c>
      <c r="C157" s="2">
        <v>3.85</v>
      </c>
      <c r="D157" s="2">
        <v>202.05</v>
      </c>
      <c r="E157" s="6">
        <f>_xlfn.RANK.EQ(C157,C:C,0)</f>
        <v>156</v>
      </c>
      <c r="F157" s="6">
        <f>_xlfn.RANK.EQ(D157,D:D,0)</f>
        <v>155</v>
      </c>
      <c r="G157" s="2">
        <f>E157*0.7+F157*0.3</f>
        <v>155.69999999999999</v>
      </c>
      <c r="H157" s="7">
        <v>156</v>
      </c>
    </row>
    <row r="158" spans="1:8" ht="12.45" customHeight="1" x14ac:dyDescent="0.3">
      <c r="A158" s="2" t="s">
        <v>883</v>
      </c>
      <c r="B158" s="2">
        <v>57</v>
      </c>
      <c r="C158" s="2">
        <v>3.7</v>
      </c>
      <c r="D158" s="2">
        <v>222.15</v>
      </c>
      <c r="E158" s="6">
        <f>_xlfn.RANK.EQ(C158,C:C,0)</f>
        <v>181</v>
      </c>
      <c r="F158" s="6">
        <f>_xlfn.RANK.EQ(D158,D:D,0)</f>
        <v>99</v>
      </c>
      <c r="G158" s="2">
        <f>E158*0.7+F158*0.3</f>
        <v>156.39999999999998</v>
      </c>
      <c r="H158" s="7">
        <v>157</v>
      </c>
    </row>
    <row r="159" spans="1:8" ht="12.45" customHeight="1" x14ac:dyDescent="0.3">
      <c r="A159" s="2" t="s">
        <v>884</v>
      </c>
      <c r="B159" s="2">
        <v>51</v>
      </c>
      <c r="C159" s="2">
        <v>3.77</v>
      </c>
      <c r="D159" s="2">
        <v>211.25</v>
      </c>
      <c r="E159" s="6">
        <f>_xlfn.RANK.EQ(C159,C:C,0)</f>
        <v>167</v>
      </c>
      <c r="F159" s="6">
        <f>_xlfn.RANK.EQ(D159,D:D,0)</f>
        <v>132</v>
      </c>
      <c r="G159" s="2">
        <f>E159*0.7+F159*0.3</f>
        <v>156.5</v>
      </c>
      <c r="H159" s="7">
        <v>158</v>
      </c>
    </row>
    <row r="160" spans="1:8" ht="12.45" customHeight="1" x14ac:dyDescent="0.3">
      <c r="A160" s="2" t="s">
        <v>885</v>
      </c>
      <c r="B160" s="2">
        <v>50</v>
      </c>
      <c r="C160" s="2">
        <v>3.89</v>
      </c>
      <c r="D160" s="2">
        <v>194.3</v>
      </c>
      <c r="E160" s="6">
        <f>_xlfn.RANK.EQ(C160,C:C,0)</f>
        <v>148</v>
      </c>
      <c r="F160" s="6">
        <f>_xlfn.RANK.EQ(D160,D:D,0)</f>
        <v>182</v>
      </c>
      <c r="G160" s="2">
        <f>E160*0.7+F160*0.3</f>
        <v>158.19999999999999</v>
      </c>
      <c r="H160" s="7">
        <v>159</v>
      </c>
    </row>
    <row r="161" spans="1:8" ht="12.45" customHeight="1" x14ac:dyDescent="0.3">
      <c r="A161" s="2" t="s">
        <v>886</v>
      </c>
      <c r="B161" s="2">
        <v>51.5</v>
      </c>
      <c r="C161" s="2">
        <v>3.86</v>
      </c>
      <c r="D161" s="2">
        <v>198.65</v>
      </c>
      <c r="E161" s="6">
        <f>_xlfn.RANK.EQ(C161,C:C,0)</f>
        <v>154</v>
      </c>
      <c r="F161" s="6">
        <f>_xlfn.RANK.EQ(D161,D:D,0)</f>
        <v>168</v>
      </c>
      <c r="G161" s="2">
        <f>E161*0.7+F161*0.3</f>
        <v>158.19999999999999</v>
      </c>
      <c r="H161" s="7">
        <v>159</v>
      </c>
    </row>
    <row r="162" spans="1:8" ht="12.45" customHeight="1" x14ac:dyDescent="0.3">
      <c r="A162" s="2" t="s">
        <v>887</v>
      </c>
      <c r="B162" s="2">
        <v>53.5</v>
      </c>
      <c r="C162" s="2">
        <v>3.8</v>
      </c>
      <c r="D162" s="2">
        <v>203.3</v>
      </c>
      <c r="E162" s="6">
        <f>_xlfn.RANK.EQ(C162,C:C,0)</f>
        <v>162</v>
      </c>
      <c r="F162" s="6">
        <f>_xlfn.RANK.EQ(D162,D:D,0)</f>
        <v>151</v>
      </c>
      <c r="G162" s="2">
        <f>E162*0.7+F162*0.3</f>
        <v>158.69999999999999</v>
      </c>
      <c r="H162" s="7">
        <v>161</v>
      </c>
    </row>
    <row r="163" spans="1:8" ht="12.45" customHeight="1" x14ac:dyDescent="0.3">
      <c r="A163" s="2" t="s">
        <v>888</v>
      </c>
      <c r="B163" s="2">
        <v>56.5</v>
      </c>
      <c r="C163" s="2">
        <v>3.7</v>
      </c>
      <c r="D163" s="2">
        <v>220.2</v>
      </c>
      <c r="E163" s="6">
        <f>_xlfn.RANK.EQ(C163,C:C,0)</f>
        <v>181</v>
      </c>
      <c r="F163" s="6">
        <f>_xlfn.RANK.EQ(D163,D:D,0)</f>
        <v>108</v>
      </c>
      <c r="G163" s="2">
        <f>E163*0.7+F163*0.3</f>
        <v>159.1</v>
      </c>
      <c r="H163" s="7">
        <v>162</v>
      </c>
    </row>
    <row r="164" spans="1:8" ht="12.45" customHeight="1" x14ac:dyDescent="0.3">
      <c r="A164" s="2" t="s">
        <v>889</v>
      </c>
      <c r="B164" s="2">
        <v>50.5</v>
      </c>
      <c r="C164" s="2">
        <v>3.88</v>
      </c>
      <c r="D164" s="2">
        <v>195.9</v>
      </c>
      <c r="E164" s="6">
        <f>_xlfn.RANK.EQ(C164,C:C,0)</f>
        <v>151</v>
      </c>
      <c r="F164" s="6">
        <f>_xlfn.RANK.EQ(D164,D:D,0)</f>
        <v>179</v>
      </c>
      <c r="G164" s="2">
        <f>E164*0.7+F164*0.3</f>
        <v>159.39999999999998</v>
      </c>
      <c r="H164" s="7">
        <v>163</v>
      </c>
    </row>
    <row r="165" spans="1:8" ht="12.45" customHeight="1" x14ac:dyDescent="0.3">
      <c r="A165" s="2" t="s">
        <v>890</v>
      </c>
      <c r="B165" s="2">
        <v>60</v>
      </c>
      <c r="C165" s="2">
        <v>3.69</v>
      </c>
      <c r="D165" s="2">
        <v>221.55</v>
      </c>
      <c r="E165" s="6">
        <f>_xlfn.RANK.EQ(C165,C:C,0)</f>
        <v>185</v>
      </c>
      <c r="F165" s="6">
        <f>_xlfn.RANK.EQ(D165,D:D,0)</f>
        <v>102</v>
      </c>
      <c r="G165" s="2">
        <f>E165*0.7+F165*0.3</f>
        <v>160.1</v>
      </c>
      <c r="H165" s="7">
        <v>164</v>
      </c>
    </row>
    <row r="166" spans="1:8" ht="12.45" customHeight="1" x14ac:dyDescent="0.3">
      <c r="A166" s="2" t="s">
        <v>891</v>
      </c>
      <c r="B166" s="2">
        <v>49</v>
      </c>
      <c r="C166" s="2">
        <v>3.78</v>
      </c>
      <c r="D166" s="2">
        <v>203.95</v>
      </c>
      <c r="E166" s="6">
        <f>_xlfn.RANK.EQ(C166,C:C,0)</f>
        <v>165</v>
      </c>
      <c r="F166" s="6">
        <f>_xlfn.RANK.EQ(D166,D:D,0)</f>
        <v>149</v>
      </c>
      <c r="G166" s="2">
        <f>E166*0.7+F166*0.3</f>
        <v>160.19999999999999</v>
      </c>
      <c r="H166" s="7">
        <v>165</v>
      </c>
    </row>
    <row r="167" spans="1:8" ht="12.45" customHeight="1" x14ac:dyDescent="0.3">
      <c r="A167" s="2" t="s">
        <v>892</v>
      </c>
      <c r="B167" s="2">
        <v>52.5</v>
      </c>
      <c r="C167" s="2">
        <v>3.82</v>
      </c>
      <c r="D167" s="2">
        <v>200.45</v>
      </c>
      <c r="E167" s="6">
        <f>_xlfn.RANK.EQ(C167,C:C,0)</f>
        <v>160</v>
      </c>
      <c r="F167" s="6">
        <f>_xlfn.RANK.EQ(D167,D:D,0)</f>
        <v>162</v>
      </c>
      <c r="G167" s="2">
        <f>E167*0.7+F167*0.3</f>
        <v>160.6</v>
      </c>
      <c r="H167" s="7">
        <v>166</v>
      </c>
    </row>
    <row r="168" spans="1:8" ht="12.45" customHeight="1" x14ac:dyDescent="0.3">
      <c r="A168" s="2" t="s">
        <v>893</v>
      </c>
      <c r="B168" s="2">
        <v>53</v>
      </c>
      <c r="C168" s="2">
        <v>3.8</v>
      </c>
      <c r="D168" s="2">
        <v>201.3</v>
      </c>
      <c r="E168" s="6">
        <f>_xlfn.RANK.EQ(C168,C:C,0)</f>
        <v>162</v>
      </c>
      <c r="F168" s="6">
        <f>_xlfn.RANK.EQ(D168,D:D,0)</f>
        <v>158</v>
      </c>
      <c r="G168" s="2">
        <f>E168*0.7+F168*0.3</f>
        <v>160.79999999999998</v>
      </c>
      <c r="H168" s="7">
        <v>167</v>
      </c>
    </row>
    <row r="169" spans="1:8" ht="12.45" customHeight="1" x14ac:dyDescent="0.3">
      <c r="A169" s="2" t="s">
        <v>894</v>
      </c>
      <c r="B169" s="2">
        <v>56</v>
      </c>
      <c r="C169" s="2">
        <v>3.74</v>
      </c>
      <c r="D169" s="2">
        <v>209.3</v>
      </c>
      <c r="E169" s="6">
        <f>_xlfn.RANK.EQ(C169,C:C,0)</f>
        <v>174</v>
      </c>
      <c r="F169" s="6">
        <f>_xlfn.RANK.EQ(D169,D:D,0)</f>
        <v>136</v>
      </c>
      <c r="G169" s="2">
        <f>E169*0.7+F169*0.3</f>
        <v>162.6</v>
      </c>
      <c r="H169" s="7">
        <v>168</v>
      </c>
    </row>
    <row r="170" spans="1:8" ht="12.45" customHeight="1" x14ac:dyDescent="0.3">
      <c r="A170" s="2" t="s">
        <v>895</v>
      </c>
      <c r="B170" s="2">
        <v>56</v>
      </c>
      <c r="C170" s="2">
        <v>3.72</v>
      </c>
      <c r="D170" s="2">
        <v>208.35</v>
      </c>
      <c r="E170" s="6">
        <f>_xlfn.RANK.EQ(C170,C:C,0)</f>
        <v>175</v>
      </c>
      <c r="F170" s="6">
        <f>_xlfn.RANK.EQ(D170,D:D,0)</f>
        <v>137</v>
      </c>
      <c r="G170" s="2">
        <f>E170*0.7+F170*0.3</f>
        <v>163.6</v>
      </c>
      <c r="H170" s="7">
        <v>169</v>
      </c>
    </row>
    <row r="171" spans="1:8" ht="12.45" customHeight="1" x14ac:dyDescent="0.3">
      <c r="A171" s="2" t="s">
        <v>896</v>
      </c>
      <c r="B171" s="2">
        <v>52.5</v>
      </c>
      <c r="C171" s="2">
        <v>3.78</v>
      </c>
      <c r="D171" s="2">
        <v>198.5</v>
      </c>
      <c r="E171" s="6">
        <f>_xlfn.RANK.EQ(C171,C:C,0)</f>
        <v>165</v>
      </c>
      <c r="F171" s="6">
        <f>_xlfn.RANK.EQ(D171,D:D,0)</f>
        <v>171</v>
      </c>
      <c r="G171" s="2">
        <f>E171*0.7+F171*0.3</f>
        <v>166.79999999999998</v>
      </c>
      <c r="H171" s="7">
        <v>170</v>
      </c>
    </row>
    <row r="172" spans="1:8" ht="12.45" customHeight="1" x14ac:dyDescent="0.3">
      <c r="A172" s="2" t="s">
        <v>897</v>
      </c>
      <c r="B172" s="2">
        <v>57</v>
      </c>
      <c r="C172" s="2">
        <v>3.7</v>
      </c>
      <c r="D172" s="2">
        <v>210.7</v>
      </c>
      <c r="E172" s="6">
        <f>_xlfn.RANK.EQ(C172,C:C,0)</f>
        <v>181</v>
      </c>
      <c r="F172" s="6">
        <f>_xlfn.RANK.EQ(D172,D:D,0)</f>
        <v>135</v>
      </c>
      <c r="G172" s="2">
        <f>E172*0.7+F172*0.3</f>
        <v>167.2</v>
      </c>
      <c r="H172" s="7">
        <v>171</v>
      </c>
    </row>
    <row r="173" spans="1:8" ht="12.45" customHeight="1" x14ac:dyDescent="0.3">
      <c r="A173" s="2" t="s">
        <v>898</v>
      </c>
      <c r="B173" s="2">
        <v>49.5</v>
      </c>
      <c r="C173" s="2">
        <v>3.85</v>
      </c>
      <c r="D173" s="2">
        <v>190.4</v>
      </c>
      <c r="E173" s="6">
        <f>_xlfn.RANK.EQ(C173,C:C,0)</f>
        <v>156</v>
      </c>
      <c r="F173" s="6">
        <f>_xlfn.RANK.EQ(D173,D:D,0)</f>
        <v>196</v>
      </c>
      <c r="G173" s="2">
        <f>E173*0.7+F173*0.3</f>
        <v>168</v>
      </c>
      <c r="H173" s="7">
        <v>172</v>
      </c>
    </row>
    <row r="174" spans="1:8" ht="12.45" customHeight="1" x14ac:dyDescent="0.3">
      <c r="A174" s="2" t="s">
        <v>899</v>
      </c>
      <c r="B174" s="2">
        <v>52.5</v>
      </c>
      <c r="C174" s="2">
        <v>3.77</v>
      </c>
      <c r="D174" s="2">
        <v>197.75</v>
      </c>
      <c r="E174" s="6">
        <f>_xlfn.RANK.EQ(C174,C:C,0)</f>
        <v>167</v>
      </c>
      <c r="F174" s="6">
        <f>_xlfn.RANK.EQ(D174,D:D,0)</f>
        <v>173</v>
      </c>
      <c r="G174" s="2">
        <f>E174*0.7+F174*0.3</f>
        <v>168.79999999999998</v>
      </c>
      <c r="H174" s="7">
        <v>173</v>
      </c>
    </row>
    <row r="175" spans="1:8" ht="12.45" customHeight="1" x14ac:dyDescent="0.3">
      <c r="A175" s="2" t="s">
        <v>900</v>
      </c>
      <c r="B175" s="2">
        <v>49.5</v>
      </c>
      <c r="C175" s="2">
        <v>3.79</v>
      </c>
      <c r="D175" s="2">
        <v>195.05</v>
      </c>
      <c r="E175" s="6">
        <f>_xlfn.RANK.EQ(C175,C:C,0)</f>
        <v>164</v>
      </c>
      <c r="F175" s="6">
        <f>_xlfn.RANK.EQ(D175,D:D,0)</f>
        <v>181</v>
      </c>
      <c r="G175" s="2">
        <f>E175*0.7+F175*0.3</f>
        <v>169.1</v>
      </c>
      <c r="H175" s="7">
        <v>174</v>
      </c>
    </row>
    <row r="176" spans="1:8" ht="12.45" customHeight="1" x14ac:dyDescent="0.3">
      <c r="A176" s="2" t="s">
        <v>901</v>
      </c>
      <c r="B176" s="2">
        <v>53</v>
      </c>
      <c r="C176" s="2">
        <v>3.69</v>
      </c>
      <c r="D176" s="2">
        <v>206.65</v>
      </c>
      <c r="E176" s="6">
        <f>_xlfn.RANK.EQ(C176,C:C,0)</f>
        <v>185</v>
      </c>
      <c r="F176" s="6">
        <f>_xlfn.RANK.EQ(D176,D:D,0)</f>
        <v>143</v>
      </c>
      <c r="G176" s="2">
        <f>E176*0.7+F176*0.3</f>
        <v>172.4</v>
      </c>
      <c r="H176" s="7">
        <v>175</v>
      </c>
    </row>
    <row r="177" spans="1:8" ht="12.45" customHeight="1" x14ac:dyDescent="0.3">
      <c r="A177" s="2" t="s">
        <v>902</v>
      </c>
      <c r="B177" s="2">
        <v>53.5</v>
      </c>
      <c r="C177" s="2">
        <v>3.72</v>
      </c>
      <c r="D177" s="2">
        <v>199</v>
      </c>
      <c r="E177" s="6">
        <f>_xlfn.RANK.EQ(C177,C:C,0)</f>
        <v>175</v>
      </c>
      <c r="F177" s="6">
        <f>_xlfn.RANK.EQ(D177,D:D,0)</f>
        <v>167</v>
      </c>
      <c r="G177" s="2">
        <f>E177*0.7+F177*0.3</f>
        <v>172.6</v>
      </c>
      <c r="H177" s="7">
        <v>176</v>
      </c>
    </row>
    <row r="178" spans="1:8" ht="12.45" customHeight="1" x14ac:dyDescent="0.3">
      <c r="A178" s="2" t="s">
        <v>903</v>
      </c>
      <c r="B178" s="2">
        <v>52.5</v>
      </c>
      <c r="C178" s="2">
        <v>3.76</v>
      </c>
      <c r="D178" s="2">
        <v>197.55</v>
      </c>
      <c r="E178" s="6">
        <f>_xlfn.RANK.EQ(C178,C:C,0)</f>
        <v>172</v>
      </c>
      <c r="F178" s="6">
        <f>_xlfn.RANK.EQ(D178,D:D,0)</f>
        <v>174</v>
      </c>
      <c r="G178" s="2">
        <f>E178*0.7+F178*0.3</f>
        <v>172.6</v>
      </c>
      <c r="H178" s="7">
        <v>176</v>
      </c>
    </row>
    <row r="179" spans="1:8" ht="12.45" customHeight="1" x14ac:dyDescent="0.3">
      <c r="A179" s="2" t="s">
        <v>905</v>
      </c>
      <c r="B179" s="2">
        <v>51</v>
      </c>
      <c r="C179" s="2">
        <v>3.77</v>
      </c>
      <c r="D179" s="2">
        <v>192.05</v>
      </c>
      <c r="E179" s="6">
        <f>_xlfn.RANK.EQ(C179,C:C,0)</f>
        <v>167</v>
      </c>
      <c r="F179" s="6">
        <f>_xlfn.RANK.EQ(D179,D:D,0)</f>
        <v>190</v>
      </c>
      <c r="G179" s="2">
        <f>E179*0.7+F179*0.3</f>
        <v>173.89999999999998</v>
      </c>
      <c r="H179" s="7">
        <v>178</v>
      </c>
    </row>
    <row r="180" spans="1:8" ht="12.45" customHeight="1" x14ac:dyDescent="0.3">
      <c r="A180" s="2" t="s">
        <v>904</v>
      </c>
      <c r="B180" s="2">
        <v>55.5</v>
      </c>
      <c r="C180" s="2">
        <v>3.69</v>
      </c>
      <c r="D180" s="2">
        <v>204.75</v>
      </c>
      <c r="E180" s="6">
        <f>_xlfn.RANK.EQ(C180,C:C,0)</f>
        <v>185</v>
      </c>
      <c r="F180" s="6">
        <f>_xlfn.RANK.EQ(D180,D:D,0)</f>
        <v>148</v>
      </c>
      <c r="G180" s="2">
        <f>E180*0.7+F180*0.3</f>
        <v>173.9</v>
      </c>
      <c r="H180" s="7">
        <v>179</v>
      </c>
    </row>
    <row r="181" spans="1:8" ht="12.45" customHeight="1" x14ac:dyDescent="0.3">
      <c r="A181" s="2" t="s">
        <v>906</v>
      </c>
      <c r="B181" s="2">
        <v>50.5</v>
      </c>
      <c r="C181" s="2">
        <v>3.77</v>
      </c>
      <c r="D181" s="2">
        <v>190.6</v>
      </c>
      <c r="E181" s="6">
        <f>_xlfn.RANK.EQ(C181,C:C,0)</f>
        <v>167</v>
      </c>
      <c r="F181" s="6">
        <f>_xlfn.RANK.EQ(D181,D:D,0)</f>
        <v>194</v>
      </c>
      <c r="G181" s="2">
        <f>E181*0.7+F181*0.3</f>
        <v>175.1</v>
      </c>
      <c r="H181" s="7">
        <v>180</v>
      </c>
    </row>
    <row r="182" spans="1:8" ht="12.45" customHeight="1" x14ac:dyDescent="0.3">
      <c r="A182" s="2" t="s">
        <v>907</v>
      </c>
      <c r="B182" s="2">
        <v>50.5</v>
      </c>
      <c r="C182" s="2">
        <v>3.77</v>
      </c>
      <c r="D182" s="2">
        <v>190.6</v>
      </c>
      <c r="E182" s="6">
        <f>_xlfn.RANK.EQ(C182,C:C,0)</f>
        <v>167</v>
      </c>
      <c r="F182" s="6">
        <f>_xlfn.RANK.EQ(D182,D:D,0)</f>
        <v>194</v>
      </c>
      <c r="G182" s="2">
        <f>E182*0.7+F182*0.3</f>
        <v>175.1</v>
      </c>
      <c r="H182" s="7">
        <v>180</v>
      </c>
    </row>
    <row r="183" spans="1:8" ht="12.45" customHeight="1" x14ac:dyDescent="0.3">
      <c r="A183" s="2" t="s">
        <v>908</v>
      </c>
      <c r="B183" s="2">
        <v>53</v>
      </c>
      <c r="C183" s="2">
        <v>3.72</v>
      </c>
      <c r="D183" s="2">
        <v>197.1</v>
      </c>
      <c r="E183" s="6">
        <f>_xlfn.RANK.EQ(C183,C:C,0)</f>
        <v>175</v>
      </c>
      <c r="F183" s="6">
        <f>_xlfn.RANK.EQ(D183,D:D,0)</f>
        <v>176</v>
      </c>
      <c r="G183" s="2">
        <f>E183*0.7+F183*0.3</f>
        <v>175.29999999999998</v>
      </c>
      <c r="H183" s="7">
        <v>182</v>
      </c>
    </row>
    <row r="184" spans="1:8" ht="12.45" customHeight="1" x14ac:dyDescent="0.3">
      <c r="A184" s="2" t="s">
        <v>909</v>
      </c>
      <c r="B184" s="2">
        <v>56.5</v>
      </c>
      <c r="C184" s="2">
        <v>3.67</v>
      </c>
      <c r="D184" s="2">
        <v>207.3</v>
      </c>
      <c r="E184" s="6">
        <f>_xlfn.RANK.EQ(C184,C:C,0)</f>
        <v>190</v>
      </c>
      <c r="F184" s="6">
        <f>_xlfn.RANK.EQ(D184,D:D,0)</f>
        <v>141</v>
      </c>
      <c r="G184" s="2">
        <f>E184*0.7+F184*0.3</f>
        <v>175.3</v>
      </c>
      <c r="H184" s="7">
        <v>183</v>
      </c>
    </row>
    <row r="185" spans="1:8" ht="12.45" customHeight="1" x14ac:dyDescent="0.3">
      <c r="A185" s="2" t="s">
        <v>910</v>
      </c>
      <c r="B185" s="2">
        <v>53</v>
      </c>
      <c r="C185" s="2">
        <v>3.72</v>
      </c>
      <c r="D185" s="2">
        <v>196.95</v>
      </c>
      <c r="E185" s="6">
        <f>_xlfn.RANK.EQ(C185,C:C,0)</f>
        <v>175</v>
      </c>
      <c r="F185" s="6">
        <f>_xlfn.RANK.EQ(D185,D:D,0)</f>
        <v>177</v>
      </c>
      <c r="G185" s="2">
        <f>E185*0.7+F185*0.3</f>
        <v>175.6</v>
      </c>
      <c r="H185" s="7">
        <v>184</v>
      </c>
    </row>
    <row r="186" spans="1:8" ht="12.45" customHeight="1" x14ac:dyDescent="0.3">
      <c r="A186" s="2" t="s">
        <v>911</v>
      </c>
      <c r="B186" s="2">
        <v>55</v>
      </c>
      <c r="C186" s="2">
        <v>3.68</v>
      </c>
      <c r="D186" s="2">
        <v>202.45</v>
      </c>
      <c r="E186" s="6">
        <f>_xlfn.RANK.EQ(C186,C:C,0)</f>
        <v>188</v>
      </c>
      <c r="F186" s="6">
        <f>_xlfn.RANK.EQ(D186,D:D,0)</f>
        <v>154</v>
      </c>
      <c r="G186" s="2">
        <f>E186*0.7+F186*0.3</f>
        <v>177.79999999999998</v>
      </c>
      <c r="H186" s="7">
        <v>185</v>
      </c>
    </row>
    <row r="187" spans="1:8" ht="12.45" customHeight="1" x14ac:dyDescent="0.3">
      <c r="A187" s="2" t="s">
        <v>912</v>
      </c>
      <c r="B187" s="2">
        <v>50.5</v>
      </c>
      <c r="C187" s="2">
        <v>3.76</v>
      </c>
      <c r="D187" s="2">
        <v>189.7</v>
      </c>
      <c r="E187" s="6">
        <f>_xlfn.RANK.EQ(C187,C:C,0)</f>
        <v>172</v>
      </c>
      <c r="F187" s="6">
        <f>_xlfn.RANK.EQ(D187,D:D,0)</f>
        <v>198</v>
      </c>
      <c r="G187" s="2">
        <f>E187*0.7+F187*0.3</f>
        <v>179.79999999999998</v>
      </c>
      <c r="H187" s="7">
        <v>186</v>
      </c>
    </row>
    <row r="188" spans="1:8" ht="12.45" customHeight="1" x14ac:dyDescent="0.3">
      <c r="A188" s="2" t="s">
        <v>914</v>
      </c>
      <c r="B188" s="2">
        <v>51</v>
      </c>
      <c r="C188" s="2">
        <v>3.72</v>
      </c>
      <c r="D188" s="2">
        <v>189.9</v>
      </c>
      <c r="E188" s="6">
        <f>_xlfn.RANK.EQ(C188,C:C,0)</f>
        <v>175</v>
      </c>
      <c r="F188" s="6">
        <f>_xlfn.RANK.EQ(D188,D:D,0)</f>
        <v>197</v>
      </c>
      <c r="G188" s="2">
        <f>E188*0.7+F188*0.3</f>
        <v>181.59999999999997</v>
      </c>
      <c r="H188" s="7">
        <v>187</v>
      </c>
    </row>
    <row r="189" spans="1:8" ht="12.45" customHeight="1" x14ac:dyDescent="0.3">
      <c r="A189" s="2" t="s">
        <v>913</v>
      </c>
      <c r="B189" s="2">
        <v>52.5</v>
      </c>
      <c r="C189" s="2">
        <v>3.7</v>
      </c>
      <c r="D189" s="2">
        <v>194.1</v>
      </c>
      <c r="E189" s="6">
        <f>_xlfn.RANK.EQ(C189,C:C,0)</f>
        <v>181</v>
      </c>
      <c r="F189" s="6">
        <f>_xlfn.RANK.EQ(D189,D:D,0)</f>
        <v>183</v>
      </c>
      <c r="G189" s="2">
        <f>E189*0.7+F189*0.3</f>
        <v>181.6</v>
      </c>
      <c r="H189" s="7">
        <v>188</v>
      </c>
    </row>
    <row r="190" spans="1:8" ht="12.45" customHeight="1" x14ac:dyDescent="0.3">
      <c r="A190" s="2" t="s">
        <v>915</v>
      </c>
      <c r="B190" s="2">
        <v>56</v>
      </c>
      <c r="C190" s="2">
        <v>3.62</v>
      </c>
      <c r="D190" s="2">
        <v>202.7</v>
      </c>
      <c r="E190" s="6">
        <f>_xlfn.RANK.EQ(C190,C:C,0)</f>
        <v>198</v>
      </c>
      <c r="F190" s="6">
        <f>_xlfn.RANK.EQ(D190,D:D,0)</f>
        <v>153</v>
      </c>
      <c r="G190" s="2">
        <f>E190*0.7+F190*0.3</f>
        <v>184.5</v>
      </c>
      <c r="H190" s="7">
        <v>189</v>
      </c>
    </row>
    <row r="191" spans="1:8" ht="12.45" customHeight="1" x14ac:dyDescent="0.3">
      <c r="A191" s="2" t="s">
        <v>916</v>
      </c>
      <c r="B191" s="2">
        <v>52.5</v>
      </c>
      <c r="C191" s="2">
        <v>3.68</v>
      </c>
      <c r="D191" s="2">
        <v>193</v>
      </c>
      <c r="E191" s="6">
        <f>_xlfn.RANK.EQ(C191,C:C,0)</f>
        <v>188</v>
      </c>
      <c r="F191" s="6">
        <f>_xlfn.RANK.EQ(D191,D:D,0)</f>
        <v>186</v>
      </c>
      <c r="G191" s="2">
        <f>E191*0.7+F191*0.3</f>
        <v>187.39999999999998</v>
      </c>
      <c r="H191" s="7">
        <v>190</v>
      </c>
    </row>
    <row r="192" spans="1:8" ht="12.45" customHeight="1" x14ac:dyDescent="0.3">
      <c r="A192" s="2" t="s">
        <v>917</v>
      </c>
      <c r="B192" s="2">
        <v>54.5</v>
      </c>
      <c r="C192" s="2">
        <v>3.64</v>
      </c>
      <c r="D192" s="2">
        <v>198.65</v>
      </c>
      <c r="E192" s="6">
        <f>_xlfn.RANK.EQ(C192,C:C,0)</f>
        <v>196</v>
      </c>
      <c r="F192" s="6">
        <f>_xlfn.RANK.EQ(D192,D:D,0)</f>
        <v>168</v>
      </c>
      <c r="G192" s="2">
        <f>E192*0.7+F192*0.3</f>
        <v>187.6</v>
      </c>
      <c r="H192" s="7">
        <v>191</v>
      </c>
    </row>
    <row r="193" spans="1:8" ht="12.45" customHeight="1" x14ac:dyDescent="0.3">
      <c r="A193" s="2" t="s">
        <v>918</v>
      </c>
      <c r="B193" s="2">
        <v>54</v>
      </c>
      <c r="C193" s="2">
        <v>3.65</v>
      </c>
      <c r="D193" s="2">
        <v>197.15</v>
      </c>
      <c r="E193" s="6">
        <f>_xlfn.RANK.EQ(C193,C:C,0)</f>
        <v>193</v>
      </c>
      <c r="F193" s="6">
        <f>_xlfn.RANK.EQ(D193,D:D,0)</f>
        <v>175</v>
      </c>
      <c r="G193" s="2">
        <f>E193*0.7+F193*0.3</f>
        <v>187.6</v>
      </c>
      <c r="H193" s="7">
        <v>191</v>
      </c>
    </row>
    <row r="194" spans="1:8" ht="12.45" customHeight="1" x14ac:dyDescent="0.3">
      <c r="A194" s="2" t="s">
        <v>919</v>
      </c>
      <c r="B194" s="2">
        <v>52.5</v>
      </c>
      <c r="C194" s="2">
        <v>3.65</v>
      </c>
      <c r="D194" s="2">
        <v>191.65</v>
      </c>
      <c r="E194" s="6">
        <f>_xlfn.RANK.EQ(C194,C:C,0)</f>
        <v>193</v>
      </c>
      <c r="F194" s="6">
        <f>_xlfn.RANK.EQ(D194,D:D,0)</f>
        <v>191</v>
      </c>
      <c r="G194" s="2">
        <f>E194*0.7+F194*0.3</f>
        <v>192.39999999999998</v>
      </c>
      <c r="H194" s="7">
        <v>193</v>
      </c>
    </row>
    <row r="195" spans="1:8" ht="12.45" customHeight="1" x14ac:dyDescent="0.3">
      <c r="A195" s="2" t="s">
        <v>920</v>
      </c>
      <c r="B195" s="2">
        <v>51</v>
      </c>
      <c r="C195" s="2">
        <v>3.66</v>
      </c>
      <c r="D195" s="2">
        <v>186.9</v>
      </c>
      <c r="E195" s="6">
        <f>_xlfn.RANK.EQ(C195,C:C,0)</f>
        <v>191</v>
      </c>
      <c r="F195" s="6">
        <f>_xlfn.RANK.EQ(D195,D:D,0)</f>
        <v>204</v>
      </c>
      <c r="G195" s="2">
        <f>E195*0.7+F195*0.3</f>
        <v>194.89999999999998</v>
      </c>
      <c r="H195" s="7">
        <v>194</v>
      </c>
    </row>
    <row r="196" spans="1:8" ht="12.45" customHeight="1" x14ac:dyDescent="0.3">
      <c r="A196" s="2" t="s">
        <v>921</v>
      </c>
      <c r="B196" s="2">
        <v>52.5</v>
      </c>
      <c r="C196" s="2">
        <v>3.6</v>
      </c>
      <c r="D196" s="2">
        <v>192.85</v>
      </c>
      <c r="E196" s="6">
        <f>_xlfn.RANK.EQ(C196,C:C,0)</f>
        <v>200</v>
      </c>
      <c r="F196" s="6">
        <f>_xlfn.RANK.EQ(D196,D:D,0)</f>
        <v>188</v>
      </c>
      <c r="G196" s="2">
        <f>E196*0.7+F196*0.3</f>
        <v>196.4</v>
      </c>
      <c r="H196" s="7">
        <v>195</v>
      </c>
    </row>
    <row r="197" spans="1:8" ht="12.45" customHeight="1" x14ac:dyDescent="0.3">
      <c r="A197" s="2" t="s">
        <v>922</v>
      </c>
      <c r="B197" s="2">
        <v>53.5</v>
      </c>
      <c r="C197" s="2">
        <v>3.6</v>
      </c>
      <c r="D197" s="2">
        <v>192.75</v>
      </c>
      <c r="E197" s="6">
        <f>_xlfn.RANK.EQ(C197,C:C,0)</f>
        <v>200</v>
      </c>
      <c r="F197" s="6">
        <f>_xlfn.RANK.EQ(D197,D:D,0)</f>
        <v>189</v>
      </c>
      <c r="G197" s="2">
        <f>E197*0.7+F197*0.3</f>
        <v>196.7</v>
      </c>
      <c r="H197" s="7">
        <v>196</v>
      </c>
    </row>
    <row r="198" spans="1:8" ht="12.45" customHeight="1" x14ac:dyDescent="0.3">
      <c r="A198" s="2" t="s">
        <v>923</v>
      </c>
      <c r="B198" s="2">
        <v>53</v>
      </c>
      <c r="C198" s="2">
        <v>3.61</v>
      </c>
      <c r="D198" s="2">
        <v>191.45</v>
      </c>
      <c r="E198" s="6">
        <f>_xlfn.RANK.EQ(C198,C:C,0)</f>
        <v>199</v>
      </c>
      <c r="F198" s="6">
        <f>_xlfn.RANK.EQ(D198,D:D,0)</f>
        <v>192</v>
      </c>
      <c r="G198" s="2">
        <f>E198*0.7+F198*0.3</f>
        <v>196.89999999999998</v>
      </c>
      <c r="H198" s="7">
        <v>197</v>
      </c>
    </row>
    <row r="199" spans="1:8" ht="12.45" customHeight="1" x14ac:dyDescent="0.3">
      <c r="A199" s="2" t="s">
        <v>924</v>
      </c>
      <c r="B199" s="2">
        <v>50</v>
      </c>
      <c r="C199" s="2">
        <v>3.66</v>
      </c>
      <c r="D199" s="2">
        <v>183</v>
      </c>
      <c r="E199" s="6">
        <f>_xlfn.RANK.EQ(C199,C:C,0)</f>
        <v>191</v>
      </c>
      <c r="F199" s="6">
        <f>_xlfn.RANK.EQ(D199,D:D,0)</f>
        <v>211</v>
      </c>
      <c r="G199" s="2">
        <f>E199*0.7+F199*0.3</f>
        <v>197</v>
      </c>
      <c r="H199" s="7">
        <v>198</v>
      </c>
    </row>
    <row r="200" spans="1:8" ht="12.45" customHeight="1" x14ac:dyDescent="0.3">
      <c r="A200" s="2" t="s">
        <v>925</v>
      </c>
      <c r="B200" s="2">
        <v>50.5</v>
      </c>
      <c r="C200" s="2">
        <v>3.65</v>
      </c>
      <c r="D200" s="2">
        <v>184.2</v>
      </c>
      <c r="E200" s="6">
        <f>_xlfn.RANK.EQ(C200,C:C,0)</f>
        <v>193</v>
      </c>
      <c r="F200" s="6">
        <f>_xlfn.RANK.EQ(D200,D:D,0)</f>
        <v>208</v>
      </c>
      <c r="G200" s="2">
        <f>E200*0.7+F200*0.3</f>
        <v>197.5</v>
      </c>
      <c r="H200" s="7">
        <v>199</v>
      </c>
    </row>
    <row r="201" spans="1:8" ht="12.45" customHeight="1" x14ac:dyDescent="0.3">
      <c r="A201" s="2" t="s">
        <v>926</v>
      </c>
      <c r="B201" s="2">
        <v>51.5</v>
      </c>
      <c r="C201" s="2">
        <v>3.64</v>
      </c>
      <c r="D201" s="2">
        <v>187.7</v>
      </c>
      <c r="E201" s="6">
        <f>_xlfn.RANK.EQ(C201,C:C,0)</f>
        <v>196</v>
      </c>
      <c r="F201" s="6">
        <f>_xlfn.RANK.EQ(D201,D:D,0)</f>
        <v>203</v>
      </c>
      <c r="G201" s="2">
        <f>E201*0.7+F201*0.3</f>
        <v>198.1</v>
      </c>
      <c r="H201" s="7">
        <v>200</v>
      </c>
    </row>
    <row r="202" spans="1:8" ht="12.45" customHeight="1" x14ac:dyDescent="0.3">
      <c r="A202" s="2" t="s">
        <v>927</v>
      </c>
      <c r="B202" s="2">
        <v>41.5</v>
      </c>
      <c r="C202" s="2">
        <v>3.72</v>
      </c>
      <c r="D202" s="2">
        <v>154.35</v>
      </c>
      <c r="E202" s="6">
        <f>_xlfn.RANK.EQ(C202,C:C,0)</f>
        <v>175</v>
      </c>
      <c r="F202" s="6">
        <f>_xlfn.RANK.EQ(D202,D:D,0)</f>
        <v>260</v>
      </c>
      <c r="G202" s="2">
        <f>E202*0.7+F202*0.3</f>
        <v>200.5</v>
      </c>
      <c r="H202" s="7">
        <v>201</v>
      </c>
    </row>
    <row r="203" spans="1:8" ht="12.45" customHeight="1" x14ac:dyDescent="0.3">
      <c r="A203" s="2" t="s">
        <v>928</v>
      </c>
      <c r="B203" s="2">
        <v>46.5</v>
      </c>
      <c r="C203" s="2">
        <v>3.6</v>
      </c>
      <c r="D203" s="2">
        <v>185.2</v>
      </c>
      <c r="E203" s="6">
        <f>_xlfn.RANK.EQ(C203,C:C,0)</f>
        <v>200</v>
      </c>
      <c r="F203" s="6">
        <f>_xlfn.RANK.EQ(D203,D:D,0)</f>
        <v>207</v>
      </c>
      <c r="G203" s="2">
        <f>E203*0.7+F203*0.3</f>
        <v>202.1</v>
      </c>
      <c r="H203" s="7">
        <v>202</v>
      </c>
    </row>
    <row r="204" spans="1:8" ht="12.45" customHeight="1" x14ac:dyDescent="0.3">
      <c r="A204" s="2" t="s">
        <v>929</v>
      </c>
      <c r="B204" s="2">
        <v>50.5</v>
      </c>
      <c r="C204" s="2">
        <v>3.6</v>
      </c>
      <c r="D204" s="2">
        <v>182.05</v>
      </c>
      <c r="E204" s="6">
        <f>_xlfn.RANK.EQ(C204,C:C,0)</f>
        <v>200</v>
      </c>
      <c r="F204" s="6">
        <f>_xlfn.RANK.EQ(D204,D:D,0)</f>
        <v>213</v>
      </c>
      <c r="G204" s="2">
        <f>E204*0.7+F204*0.3</f>
        <v>203.9</v>
      </c>
      <c r="H204" s="7">
        <v>203</v>
      </c>
    </row>
    <row r="205" spans="1:8" ht="12.45" customHeight="1" x14ac:dyDescent="0.3">
      <c r="A205" s="2" t="s">
        <v>930</v>
      </c>
      <c r="B205" s="2">
        <v>55.5</v>
      </c>
      <c r="C205" s="2">
        <v>3.58</v>
      </c>
      <c r="D205" s="2">
        <v>186.1</v>
      </c>
      <c r="E205" s="6">
        <f>_xlfn.RANK.EQ(C205,C:C,0)</f>
        <v>205</v>
      </c>
      <c r="F205" s="6">
        <f>_xlfn.RANK.EQ(D205,D:D,0)</f>
        <v>205</v>
      </c>
      <c r="G205" s="2">
        <f>E205*0.7+F205*0.3</f>
        <v>205</v>
      </c>
      <c r="H205" s="7">
        <v>204</v>
      </c>
    </row>
    <row r="206" spans="1:8" ht="12.45" customHeight="1" x14ac:dyDescent="0.3">
      <c r="A206" s="2" t="s">
        <v>931</v>
      </c>
      <c r="B206" s="2">
        <v>52.5</v>
      </c>
      <c r="C206" s="2">
        <v>3.49</v>
      </c>
      <c r="D206" s="2">
        <v>193.8</v>
      </c>
      <c r="E206" s="6">
        <f>_xlfn.RANK.EQ(C206,C:C,0)</f>
        <v>215</v>
      </c>
      <c r="F206" s="6">
        <f>_xlfn.RANK.EQ(D206,D:D,0)</f>
        <v>185</v>
      </c>
      <c r="G206" s="2">
        <f>E206*0.7+F206*0.3</f>
        <v>206</v>
      </c>
      <c r="H206" s="7">
        <v>205</v>
      </c>
    </row>
    <row r="207" spans="1:8" ht="12.45" customHeight="1" x14ac:dyDescent="0.3">
      <c r="A207" s="2" t="s">
        <v>932</v>
      </c>
      <c r="B207" s="2">
        <v>51</v>
      </c>
      <c r="C207" s="2">
        <v>3.58</v>
      </c>
      <c r="D207" s="2">
        <v>182.8</v>
      </c>
      <c r="E207" s="6">
        <f>_xlfn.RANK.EQ(C207,C:C,0)</f>
        <v>205</v>
      </c>
      <c r="F207" s="6">
        <f>_xlfn.RANK.EQ(D207,D:D,0)</f>
        <v>212</v>
      </c>
      <c r="G207" s="2">
        <f>E207*0.7+F207*0.3</f>
        <v>207.1</v>
      </c>
      <c r="H207" s="7">
        <v>206</v>
      </c>
    </row>
    <row r="208" spans="1:8" ht="12.45" customHeight="1" x14ac:dyDescent="0.3">
      <c r="A208" s="2" t="s">
        <v>933</v>
      </c>
      <c r="B208" s="2">
        <v>54.5</v>
      </c>
      <c r="C208" s="2">
        <v>3.54</v>
      </c>
      <c r="D208" s="2">
        <v>185.75</v>
      </c>
      <c r="E208" s="6">
        <f>_xlfn.RANK.EQ(C208,C:C,0)</f>
        <v>209</v>
      </c>
      <c r="F208" s="6">
        <f>_xlfn.RANK.EQ(D208,D:D,0)</f>
        <v>206</v>
      </c>
      <c r="G208" s="2">
        <f>E208*0.7+F208*0.3</f>
        <v>208.09999999999997</v>
      </c>
      <c r="H208" s="7">
        <v>207</v>
      </c>
    </row>
    <row r="209" spans="1:8" ht="12.45" customHeight="1" x14ac:dyDescent="0.3">
      <c r="A209" s="2" t="s">
        <v>934</v>
      </c>
      <c r="B209" s="2">
        <v>61</v>
      </c>
      <c r="C209" s="2">
        <v>3.3</v>
      </c>
      <c r="D209" s="2">
        <v>208.05</v>
      </c>
      <c r="E209" s="6">
        <f>_xlfn.RANK.EQ(C209,C:C,0)</f>
        <v>240</v>
      </c>
      <c r="F209" s="6">
        <f>_xlfn.RANK.EQ(D209,D:D,0)</f>
        <v>138</v>
      </c>
      <c r="G209" s="2">
        <f>E209*0.7+F209*0.3</f>
        <v>209.4</v>
      </c>
      <c r="H209" s="7">
        <v>208</v>
      </c>
    </row>
    <row r="210" spans="1:8" ht="12.45" customHeight="1" x14ac:dyDescent="0.3">
      <c r="A210" s="2" t="s">
        <v>935</v>
      </c>
      <c r="B210" s="2">
        <v>49.5</v>
      </c>
      <c r="C210" s="2">
        <v>3.59</v>
      </c>
      <c r="D210" s="2">
        <v>177.75</v>
      </c>
      <c r="E210" s="6">
        <f>_xlfn.RANK.EQ(C210,C:C,0)</f>
        <v>204</v>
      </c>
      <c r="F210" s="6">
        <f>_xlfn.RANK.EQ(D210,D:D,0)</f>
        <v>223</v>
      </c>
      <c r="G210" s="2">
        <f>E210*0.7+F210*0.3</f>
        <v>209.7</v>
      </c>
      <c r="H210" s="7">
        <v>209</v>
      </c>
    </row>
    <row r="211" spans="1:8" ht="12.45" customHeight="1" x14ac:dyDescent="0.3">
      <c r="A211" s="2" t="s">
        <v>936</v>
      </c>
      <c r="B211" s="2">
        <v>51</v>
      </c>
      <c r="C211" s="2">
        <v>3.55</v>
      </c>
      <c r="D211" s="2">
        <v>180.9</v>
      </c>
      <c r="E211" s="6">
        <f>_xlfn.RANK.EQ(C211,C:C,0)</f>
        <v>208</v>
      </c>
      <c r="F211" s="6">
        <f>_xlfn.RANK.EQ(D211,D:D,0)</f>
        <v>214</v>
      </c>
      <c r="G211" s="2">
        <f>E211*0.7+F211*0.3</f>
        <v>209.8</v>
      </c>
      <c r="H211" s="7">
        <v>210</v>
      </c>
    </row>
    <row r="212" spans="1:8" ht="12.45" customHeight="1" x14ac:dyDescent="0.3">
      <c r="A212" s="2" t="s">
        <v>937</v>
      </c>
      <c r="B212" s="2">
        <v>60</v>
      </c>
      <c r="C212" s="2">
        <v>3.36</v>
      </c>
      <c r="D212" s="2">
        <v>201.5</v>
      </c>
      <c r="E212" s="6">
        <f>_xlfn.RANK.EQ(C212,C:C,0)</f>
        <v>233</v>
      </c>
      <c r="F212" s="6">
        <f>_xlfn.RANK.EQ(D212,D:D,0)</f>
        <v>157</v>
      </c>
      <c r="G212" s="2">
        <f>E212*0.7+F212*0.3</f>
        <v>210.2</v>
      </c>
      <c r="H212" s="7">
        <v>211</v>
      </c>
    </row>
    <row r="213" spans="1:8" ht="12.45" customHeight="1" x14ac:dyDescent="0.3">
      <c r="A213" s="2" t="s">
        <v>938</v>
      </c>
      <c r="B213" s="2">
        <v>52.5</v>
      </c>
      <c r="C213" s="2">
        <v>3.5</v>
      </c>
      <c r="D213" s="2">
        <v>183.75</v>
      </c>
      <c r="E213" s="6">
        <f>_xlfn.RANK.EQ(C213,C:C,0)</f>
        <v>212</v>
      </c>
      <c r="F213" s="6">
        <f>_xlfn.RANK.EQ(D213,D:D,0)</f>
        <v>209</v>
      </c>
      <c r="G213" s="2">
        <f>E213*0.7+F213*0.3</f>
        <v>211.09999999999997</v>
      </c>
      <c r="H213" s="7">
        <v>212</v>
      </c>
    </row>
    <row r="214" spans="1:8" ht="12.45" customHeight="1" x14ac:dyDescent="0.3">
      <c r="A214" s="2" t="s">
        <v>939</v>
      </c>
      <c r="B214" s="2">
        <v>50</v>
      </c>
      <c r="C214" s="2">
        <v>3.57</v>
      </c>
      <c r="D214" s="2">
        <v>178.55</v>
      </c>
      <c r="E214" s="6">
        <f>_xlfn.RANK.EQ(C214,C:C,0)</f>
        <v>207</v>
      </c>
      <c r="F214" s="6">
        <f>_xlfn.RANK.EQ(D214,D:D,0)</f>
        <v>221</v>
      </c>
      <c r="G214" s="2">
        <f>E214*0.7+F214*0.3</f>
        <v>211.2</v>
      </c>
      <c r="H214" s="7">
        <v>213</v>
      </c>
    </row>
    <row r="215" spans="1:8" ht="12.45" customHeight="1" x14ac:dyDescent="0.3">
      <c r="A215" s="2" t="s">
        <v>940</v>
      </c>
      <c r="B215" s="2">
        <v>56.5</v>
      </c>
      <c r="C215" s="2">
        <v>3.43</v>
      </c>
      <c r="D215" s="2">
        <v>194</v>
      </c>
      <c r="E215" s="6">
        <f>_xlfn.RANK.EQ(C215,C:C,0)</f>
        <v>224</v>
      </c>
      <c r="F215" s="6">
        <f>_xlfn.RANK.EQ(D215,D:D,0)</f>
        <v>184</v>
      </c>
      <c r="G215" s="2">
        <f>E215*0.7+F215*0.3</f>
        <v>211.99999999999997</v>
      </c>
      <c r="H215" s="7">
        <v>214</v>
      </c>
    </row>
    <row r="216" spans="1:8" ht="12.45" customHeight="1" x14ac:dyDescent="0.3">
      <c r="A216" s="2" t="s">
        <v>941</v>
      </c>
      <c r="B216" s="2">
        <v>51.5</v>
      </c>
      <c r="C216" s="2">
        <v>3.51</v>
      </c>
      <c r="D216" s="2">
        <v>180.75</v>
      </c>
      <c r="E216" s="6">
        <f>_xlfn.RANK.EQ(C216,C:C,0)</f>
        <v>211</v>
      </c>
      <c r="F216" s="6">
        <f>_xlfn.RANK.EQ(D216,D:D,0)</f>
        <v>215</v>
      </c>
      <c r="G216" s="2">
        <f>E216*0.7+F216*0.3</f>
        <v>212.2</v>
      </c>
      <c r="H216" s="7">
        <v>215</v>
      </c>
    </row>
    <row r="217" spans="1:8" ht="12.45" customHeight="1" x14ac:dyDescent="0.3">
      <c r="A217" s="2" t="s">
        <v>942</v>
      </c>
      <c r="B217" s="2">
        <v>54.5</v>
      </c>
      <c r="C217" s="2">
        <v>3.45</v>
      </c>
      <c r="D217" s="2">
        <v>187.85</v>
      </c>
      <c r="E217" s="6">
        <f>_xlfn.RANK.EQ(C217,C:C,0)</f>
        <v>222</v>
      </c>
      <c r="F217" s="6">
        <f>_xlfn.RANK.EQ(D217,D:D,0)</f>
        <v>202</v>
      </c>
      <c r="G217" s="2">
        <f>E217*0.7+F217*0.3</f>
        <v>215.99999999999997</v>
      </c>
      <c r="H217" s="7">
        <v>216</v>
      </c>
    </row>
    <row r="218" spans="1:8" ht="12.45" customHeight="1" x14ac:dyDescent="0.3">
      <c r="A218" s="2" t="s">
        <v>943</v>
      </c>
      <c r="B218" s="2">
        <v>48</v>
      </c>
      <c r="C218" s="2">
        <v>3.46</v>
      </c>
      <c r="D218" s="2">
        <v>183.3</v>
      </c>
      <c r="E218" s="6">
        <f>_xlfn.RANK.EQ(C218,C:C,0)</f>
        <v>219</v>
      </c>
      <c r="F218" s="6">
        <f>_xlfn.RANK.EQ(D218,D:D,0)</f>
        <v>210</v>
      </c>
      <c r="G218" s="2">
        <f>E218*0.7+F218*0.3</f>
        <v>216.29999999999998</v>
      </c>
      <c r="H218" s="7">
        <v>217</v>
      </c>
    </row>
    <row r="219" spans="1:8" ht="12.45" customHeight="1" x14ac:dyDescent="0.3">
      <c r="A219" s="2" t="s">
        <v>944</v>
      </c>
      <c r="B219" s="2">
        <v>52</v>
      </c>
      <c r="C219" s="2">
        <v>3.48</v>
      </c>
      <c r="D219" s="2">
        <v>180.75</v>
      </c>
      <c r="E219" s="6">
        <f>_xlfn.RANK.EQ(C219,C:C,0)</f>
        <v>217</v>
      </c>
      <c r="F219" s="6">
        <f>_xlfn.RANK.EQ(D219,D:D,0)</f>
        <v>215</v>
      </c>
      <c r="G219" s="2">
        <f>E219*0.7+F219*0.3</f>
        <v>216.39999999999998</v>
      </c>
      <c r="H219" s="7">
        <v>218</v>
      </c>
    </row>
    <row r="220" spans="1:8" ht="12.45" customHeight="1" x14ac:dyDescent="0.3">
      <c r="A220" s="2" t="s">
        <v>945</v>
      </c>
      <c r="B220" s="2">
        <v>55</v>
      </c>
      <c r="C220" s="2">
        <v>3.42</v>
      </c>
      <c r="D220" s="2">
        <v>188.15</v>
      </c>
      <c r="E220" s="6">
        <f>_xlfn.RANK.EQ(C220,C:C,0)</f>
        <v>226</v>
      </c>
      <c r="F220" s="6">
        <f>_xlfn.RANK.EQ(D220,D:D,0)</f>
        <v>201</v>
      </c>
      <c r="G220" s="2">
        <f>E220*0.7+F220*0.3</f>
        <v>218.5</v>
      </c>
      <c r="H220" s="7">
        <v>219</v>
      </c>
    </row>
    <row r="221" spans="1:8" ht="12.45" customHeight="1" x14ac:dyDescent="0.3">
      <c r="A221" s="2" t="s">
        <v>946</v>
      </c>
      <c r="B221" s="2">
        <v>52</v>
      </c>
      <c r="C221" s="2">
        <v>3.46</v>
      </c>
      <c r="D221" s="2">
        <v>179.75</v>
      </c>
      <c r="E221" s="6">
        <f>_xlfn.RANK.EQ(C221,C:C,0)</f>
        <v>219</v>
      </c>
      <c r="F221" s="6">
        <f>_xlfn.RANK.EQ(D221,D:D,0)</f>
        <v>218</v>
      </c>
      <c r="G221" s="2">
        <f>E221*0.7+F221*0.3</f>
        <v>218.7</v>
      </c>
      <c r="H221" s="7">
        <v>220</v>
      </c>
    </row>
    <row r="222" spans="1:8" ht="12.45" customHeight="1" x14ac:dyDescent="0.3">
      <c r="A222" s="2" t="s">
        <v>947</v>
      </c>
      <c r="B222" s="2">
        <v>47</v>
      </c>
      <c r="C222" s="2">
        <v>3.54</v>
      </c>
      <c r="D222" s="2">
        <v>166.35</v>
      </c>
      <c r="E222" s="6">
        <f>_xlfn.RANK.EQ(C222,C:C,0)</f>
        <v>209</v>
      </c>
      <c r="F222" s="6">
        <f>_xlfn.RANK.EQ(D222,D:D,0)</f>
        <v>243</v>
      </c>
      <c r="G222" s="2">
        <f>E222*0.7+F222*0.3</f>
        <v>219.2</v>
      </c>
      <c r="H222" s="7">
        <v>221</v>
      </c>
    </row>
    <row r="223" spans="1:8" ht="12.45" customHeight="1" x14ac:dyDescent="0.3">
      <c r="A223" s="2" t="s">
        <v>948</v>
      </c>
      <c r="B223" s="2">
        <v>47.5</v>
      </c>
      <c r="C223" s="2">
        <v>3.5</v>
      </c>
      <c r="D223" s="2">
        <v>169.85</v>
      </c>
      <c r="E223" s="6">
        <f>_xlfn.RANK.EQ(C223,C:C,0)</f>
        <v>212</v>
      </c>
      <c r="F223" s="6">
        <f>_xlfn.RANK.EQ(D223,D:D,0)</f>
        <v>237</v>
      </c>
      <c r="G223" s="2">
        <f>E223*0.7+F223*0.3</f>
        <v>219.49999999999997</v>
      </c>
      <c r="H223" s="7">
        <v>222</v>
      </c>
    </row>
    <row r="224" spans="1:8" ht="12.45" customHeight="1" x14ac:dyDescent="0.3">
      <c r="A224" s="2" t="s">
        <v>949</v>
      </c>
      <c r="B224" s="2">
        <v>55.5</v>
      </c>
      <c r="C224" s="2">
        <v>3.39</v>
      </c>
      <c r="D224" s="2">
        <v>188.25</v>
      </c>
      <c r="E224" s="6">
        <f>_xlfn.RANK.EQ(C224,C:C,0)</f>
        <v>228</v>
      </c>
      <c r="F224" s="6">
        <f>_xlfn.RANK.EQ(D224,D:D,0)</f>
        <v>200</v>
      </c>
      <c r="G224" s="2">
        <f>E224*0.7+F224*0.3</f>
        <v>219.6</v>
      </c>
      <c r="H224" s="7">
        <v>223</v>
      </c>
    </row>
    <row r="225" spans="1:8" ht="12.45" customHeight="1" x14ac:dyDescent="0.3">
      <c r="A225" s="2" t="s">
        <v>950</v>
      </c>
      <c r="B225" s="2">
        <v>51</v>
      </c>
      <c r="C225" s="2">
        <v>3.44</v>
      </c>
      <c r="D225" s="2">
        <v>178.8</v>
      </c>
      <c r="E225" s="6">
        <f>_xlfn.RANK.EQ(C225,C:C,0)</f>
        <v>223</v>
      </c>
      <c r="F225" s="6">
        <f>_xlfn.RANK.EQ(D225,D:D,0)</f>
        <v>219</v>
      </c>
      <c r="G225" s="2">
        <f>E225*0.7+F225*0.3</f>
        <v>221.8</v>
      </c>
      <c r="H225" s="7">
        <v>224</v>
      </c>
    </row>
    <row r="226" spans="1:8" ht="12.45" customHeight="1" x14ac:dyDescent="0.3">
      <c r="A226" s="2" t="s">
        <v>951</v>
      </c>
      <c r="B226" s="2">
        <v>48.5</v>
      </c>
      <c r="C226" s="2">
        <v>3.49</v>
      </c>
      <c r="D226" s="2">
        <v>169.45</v>
      </c>
      <c r="E226" s="6">
        <f>_xlfn.RANK.EQ(C226,C:C,0)</f>
        <v>215</v>
      </c>
      <c r="F226" s="6">
        <f>_xlfn.RANK.EQ(D226,D:D,0)</f>
        <v>238</v>
      </c>
      <c r="G226" s="2">
        <f>E226*0.7+F226*0.3</f>
        <v>221.89999999999998</v>
      </c>
      <c r="H226" s="7">
        <v>225</v>
      </c>
    </row>
    <row r="227" spans="1:8" ht="12.45" customHeight="1" x14ac:dyDescent="0.3">
      <c r="A227" s="2" t="s">
        <v>952</v>
      </c>
      <c r="B227" s="2">
        <v>46</v>
      </c>
      <c r="C227" s="2">
        <v>3.5</v>
      </c>
      <c r="D227" s="2">
        <v>164.55</v>
      </c>
      <c r="E227" s="6">
        <f>_xlfn.RANK.EQ(C227,C:C,0)</f>
        <v>212</v>
      </c>
      <c r="F227" s="6">
        <f>_xlfn.RANK.EQ(D227,D:D,0)</f>
        <v>248</v>
      </c>
      <c r="G227" s="2">
        <f>E227*0.7+F227*0.3</f>
        <v>222.79999999999995</v>
      </c>
      <c r="H227" s="7">
        <v>226</v>
      </c>
    </row>
    <row r="228" spans="1:8" ht="12.45" customHeight="1" x14ac:dyDescent="0.3">
      <c r="A228" s="2" t="s">
        <v>953</v>
      </c>
      <c r="B228" s="2">
        <v>47.5</v>
      </c>
      <c r="C228" s="2">
        <v>3.48</v>
      </c>
      <c r="D228" s="2">
        <v>165.3</v>
      </c>
      <c r="E228" s="6">
        <f>_xlfn.RANK.EQ(C228,C:C,0)</f>
        <v>217</v>
      </c>
      <c r="F228" s="6">
        <f>_xlfn.RANK.EQ(D228,D:D,0)</f>
        <v>247</v>
      </c>
      <c r="G228" s="2">
        <f>E228*0.7+F228*0.3</f>
        <v>225.99999999999997</v>
      </c>
      <c r="H228" s="7">
        <v>227</v>
      </c>
    </row>
    <row r="229" spans="1:8" ht="12.45" customHeight="1" x14ac:dyDescent="0.3">
      <c r="A229" s="2" t="s">
        <v>954</v>
      </c>
      <c r="B229" s="2">
        <v>48</v>
      </c>
      <c r="C229" s="2">
        <v>3.46</v>
      </c>
      <c r="D229" s="2">
        <v>166.05</v>
      </c>
      <c r="E229" s="6">
        <f>_xlfn.RANK.EQ(C229,C:C,0)</f>
        <v>219</v>
      </c>
      <c r="F229" s="6">
        <f>_xlfn.RANK.EQ(D229,D:D,0)</f>
        <v>245</v>
      </c>
      <c r="G229" s="2">
        <f>E229*0.7+F229*0.3</f>
        <v>226.79999999999998</v>
      </c>
      <c r="H229" s="7">
        <v>228</v>
      </c>
    </row>
    <row r="230" spans="1:8" ht="12.45" customHeight="1" x14ac:dyDescent="0.3">
      <c r="A230" s="2" t="s">
        <v>955</v>
      </c>
      <c r="B230" s="2">
        <v>53</v>
      </c>
      <c r="C230" s="2">
        <v>3.37</v>
      </c>
      <c r="D230" s="2">
        <v>178.7</v>
      </c>
      <c r="E230" s="6">
        <f>_xlfn.RANK.EQ(C230,C:C,0)</f>
        <v>231</v>
      </c>
      <c r="F230" s="6">
        <f>_xlfn.RANK.EQ(D230,D:D,0)</f>
        <v>220</v>
      </c>
      <c r="G230" s="2">
        <f>E230*0.7+F230*0.3</f>
        <v>227.7</v>
      </c>
      <c r="H230" s="7">
        <v>229</v>
      </c>
    </row>
    <row r="231" spans="1:8" ht="12.45" customHeight="1" x14ac:dyDescent="0.3">
      <c r="A231" s="2" t="s">
        <v>956</v>
      </c>
      <c r="B231" s="2">
        <v>52</v>
      </c>
      <c r="C231" s="2">
        <v>3.38</v>
      </c>
      <c r="D231" s="2">
        <v>175.5</v>
      </c>
      <c r="E231" s="6">
        <f>_xlfn.RANK.EQ(C231,C:C,0)</f>
        <v>230</v>
      </c>
      <c r="F231" s="6">
        <f>_xlfn.RANK.EQ(D231,D:D,0)</f>
        <v>226</v>
      </c>
      <c r="G231" s="2">
        <f>E231*0.7+F231*0.3</f>
        <v>228.8</v>
      </c>
      <c r="H231" s="7">
        <v>230</v>
      </c>
    </row>
    <row r="232" spans="1:8" ht="12.45" customHeight="1" x14ac:dyDescent="0.3">
      <c r="A232" s="2" t="s">
        <v>957</v>
      </c>
      <c r="B232" s="2">
        <v>49</v>
      </c>
      <c r="C232" s="2">
        <v>3.43</v>
      </c>
      <c r="D232" s="2">
        <v>168.15</v>
      </c>
      <c r="E232" s="6">
        <f>_xlfn.RANK.EQ(C232,C:C,0)</f>
        <v>224</v>
      </c>
      <c r="F232" s="6">
        <f>_xlfn.RANK.EQ(D232,D:D,0)</f>
        <v>241</v>
      </c>
      <c r="G232" s="2">
        <f>E232*0.7+F232*0.3</f>
        <v>229.09999999999997</v>
      </c>
      <c r="H232" s="7">
        <v>231</v>
      </c>
    </row>
    <row r="233" spans="1:8" ht="12.45" customHeight="1" x14ac:dyDescent="0.3">
      <c r="A233" s="2" t="s">
        <v>958</v>
      </c>
      <c r="B233" s="2">
        <v>49.5</v>
      </c>
      <c r="C233" s="2">
        <v>3.4</v>
      </c>
      <c r="D233" s="2">
        <v>168.15</v>
      </c>
      <c r="E233" s="6">
        <f>_xlfn.RANK.EQ(C233,C:C,0)</f>
        <v>227</v>
      </c>
      <c r="F233" s="6">
        <f>_xlfn.RANK.EQ(D233,D:D,0)</f>
        <v>241</v>
      </c>
      <c r="G233" s="2">
        <f>E233*0.7+F233*0.3</f>
        <v>231.2</v>
      </c>
      <c r="H233" s="7">
        <v>232</v>
      </c>
    </row>
    <row r="234" spans="1:8" ht="12.45" customHeight="1" x14ac:dyDescent="0.3">
      <c r="A234" s="2" t="s">
        <v>959</v>
      </c>
      <c r="B234" s="2">
        <v>51</v>
      </c>
      <c r="C234" s="2">
        <v>3.36</v>
      </c>
      <c r="D234" s="2">
        <v>171.3</v>
      </c>
      <c r="E234" s="6">
        <f>_xlfn.RANK.EQ(C234,C:C,0)</f>
        <v>233</v>
      </c>
      <c r="F234" s="6">
        <f>_xlfn.RANK.EQ(D234,D:D,0)</f>
        <v>235</v>
      </c>
      <c r="G234" s="2">
        <f>E234*0.7+F234*0.3</f>
        <v>233.6</v>
      </c>
      <c r="H234" s="7">
        <v>233</v>
      </c>
    </row>
    <row r="235" spans="1:8" ht="12.45" customHeight="1" x14ac:dyDescent="0.3">
      <c r="A235" s="2" t="s">
        <v>960</v>
      </c>
      <c r="B235" s="2">
        <v>45</v>
      </c>
      <c r="C235" s="2">
        <v>3.37</v>
      </c>
      <c r="D235" s="2">
        <v>168.3</v>
      </c>
      <c r="E235" s="6">
        <f>_xlfn.RANK.EQ(C235,C:C,0)</f>
        <v>231</v>
      </c>
      <c r="F235" s="6">
        <f>_xlfn.RANK.EQ(D235,D:D,0)</f>
        <v>240</v>
      </c>
      <c r="G235" s="2">
        <f>E235*0.7+F235*0.3</f>
        <v>233.7</v>
      </c>
      <c r="H235" s="7">
        <v>234</v>
      </c>
    </row>
    <row r="236" spans="1:8" ht="12.45" customHeight="1" x14ac:dyDescent="0.3">
      <c r="A236" s="2" t="s">
        <v>961</v>
      </c>
      <c r="B236" s="2">
        <v>52.5</v>
      </c>
      <c r="C236" s="2">
        <v>3.31</v>
      </c>
      <c r="D236" s="2">
        <v>177.3</v>
      </c>
      <c r="E236" s="6">
        <f>_xlfn.RANK.EQ(C236,C:C,0)</f>
        <v>238</v>
      </c>
      <c r="F236" s="6">
        <f>_xlfn.RANK.EQ(D236,D:D,0)</f>
        <v>224</v>
      </c>
      <c r="G236" s="2">
        <f>E236*0.7+F236*0.3</f>
        <v>233.8</v>
      </c>
      <c r="H236" s="7">
        <v>235</v>
      </c>
    </row>
    <row r="237" spans="1:8" ht="12.45" customHeight="1" x14ac:dyDescent="0.3">
      <c r="A237" s="2" t="s">
        <v>962</v>
      </c>
      <c r="B237" s="2">
        <v>50.5</v>
      </c>
      <c r="C237" s="2">
        <v>3.34</v>
      </c>
      <c r="D237" s="2">
        <v>171.9</v>
      </c>
      <c r="E237" s="6">
        <f>_xlfn.RANK.EQ(C237,C:C,0)</f>
        <v>235</v>
      </c>
      <c r="F237" s="6">
        <f>_xlfn.RANK.EQ(D237,D:D,0)</f>
        <v>232</v>
      </c>
      <c r="G237" s="2">
        <f>E237*0.7+F237*0.3</f>
        <v>234.1</v>
      </c>
      <c r="H237" s="7">
        <v>236</v>
      </c>
    </row>
    <row r="238" spans="1:8" ht="12.45" customHeight="1" x14ac:dyDescent="0.3">
      <c r="A238" s="2" t="s">
        <v>963</v>
      </c>
      <c r="B238" s="2">
        <v>47.5</v>
      </c>
      <c r="C238" s="2">
        <v>3.39</v>
      </c>
      <c r="D238" s="2">
        <v>164.45</v>
      </c>
      <c r="E238" s="6">
        <f>_xlfn.RANK.EQ(C238,C:C,0)</f>
        <v>228</v>
      </c>
      <c r="F238" s="6">
        <f>_xlfn.RANK.EQ(D238,D:D,0)</f>
        <v>249</v>
      </c>
      <c r="G238" s="2">
        <f>E238*0.7+F238*0.3</f>
        <v>234.3</v>
      </c>
      <c r="H238" s="7">
        <v>237</v>
      </c>
    </row>
    <row r="239" spans="1:8" ht="12.45" customHeight="1" x14ac:dyDescent="0.3">
      <c r="A239" s="2" t="s">
        <v>964</v>
      </c>
      <c r="B239" s="2">
        <v>55</v>
      </c>
      <c r="C239" s="2">
        <v>3.27</v>
      </c>
      <c r="D239" s="2">
        <v>179.85</v>
      </c>
      <c r="E239" s="6">
        <f>_xlfn.RANK.EQ(C239,C:C,0)</f>
        <v>242</v>
      </c>
      <c r="F239" s="6">
        <f>_xlfn.RANK.EQ(D239,D:D,0)</f>
        <v>217</v>
      </c>
      <c r="G239" s="2">
        <f>E239*0.7+F239*0.3</f>
        <v>234.49999999999997</v>
      </c>
      <c r="H239" s="7">
        <v>238</v>
      </c>
    </row>
    <row r="240" spans="1:8" ht="12.45" customHeight="1" x14ac:dyDescent="0.3">
      <c r="A240" s="2" t="s">
        <v>966</v>
      </c>
      <c r="B240" s="2">
        <v>52</v>
      </c>
      <c r="C240" s="2">
        <v>3.33</v>
      </c>
      <c r="D240" s="2">
        <v>172.95</v>
      </c>
      <c r="E240" s="6">
        <f>_xlfn.RANK.EQ(C240,C:C,0)</f>
        <v>237</v>
      </c>
      <c r="F240" s="6">
        <f>_xlfn.RANK.EQ(D240,D:D,0)</f>
        <v>229</v>
      </c>
      <c r="G240" s="2">
        <f>E240*0.7+F240*0.3</f>
        <v>234.59999999999997</v>
      </c>
      <c r="H240" s="7">
        <v>239</v>
      </c>
    </row>
    <row r="241" spans="1:8" ht="12.45" customHeight="1" x14ac:dyDescent="0.3">
      <c r="A241" s="2" t="s">
        <v>965</v>
      </c>
      <c r="B241" s="2">
        <v>54</v>
      </c>
      <c r="C241" s="2">
        <v>3.3</v>
      </c>
      <c r="D241" s="2">
        <v>178.2</v>
      </c>
      <c r="E241" s="6">
        <f>_xlfn.RANK.EQ(C241,C:C,0)</f>
        <v>240</v>
      </c>
      <c r="F241" s="6">
        <f>_xlfn.RANK.EQ(D241,D:D,0)</f>
        <v>222</v>
      </c>
      <c r="G241" s="2">
        <f>E241*0.7+F241*0.3</f>
        <v>234.6</v>
      </c>
      <c r="H241" s="7">
        <v>240</v>
      </c>
    </row>
    <row r="242" spans="1:8" ht="12.45" customHeight="1" x14ac:dyDescent="0.3">
      <c r="A242" s="2" t="s">
        <v>967</v>
      </c>
      <c r="B242" s="2">
        <v>51</v>
      </c>
      <c r="C242" s="2">
        <v>3.25</v>
      </c>
      <c r="D242" s="2">
        <v>172.05</v>
      </c>
      <c r="E242" s="6">
        <f>_xlfn.RANK.EQ(C242,C:C,0)</f>
        <v>243</v>
      </c>
      <c r="F242" s="6">
        <f>_xlfn.RANK.EQ(D242,D:D,0)</f>
        <v>231</v>
      </c>
      <c r="G242" s="2">
        <f>E242*0.7+F242*0.3</f>
        <v>239.39999999999998</v>
      </c>
      <c r="H242" s="7">
        <v>241</v>
      </c>
    </row>
    <row r="243" spans="1:8" ht="12.45" customHeight="1" x14ac:dyDescent="0.3">
      <c r="A243" s="2" t="s">
        <v>968</v>
      </c>
      <c r="B243" s="2">
        <v>42</v>
      </c>
      <c r="C243" s="2">
        <v>3.34</v>
      </c>
      <c r="D243" s="2">
        <v>156.85</v>
      </c>
      <c r="E243" s="6">
        <f>_xlfn.RANK.EQ(C243,C:C,0)</f>
        <v>235</v>
      </c>
      <c r="F243" s="6">
        <f>_xlfn.RANK.EQ(D243,D:D,0)</f>
        <v>256</v>
      </c>
      <c r="G243" s="2">
        <f>E243*0.7+F243*0.3</f>
        <v>241.3</v>
      </c>
      <c r="H243" s="7">
        <v>242</v>
      </c>
    </row>
    <row r="244" spans="1:8" ht="12.45" customHeight="1" x14ac:dyDescent="0.3">
      <c r="A244" s="2" t="s">
        <v>969</v>
      </c>
      <c r="B244" s="2">
        <v>55.5</v>
      </c>
      <c r="C244" s="2">
        <v>3.16</v>
      </c>
      <c r="D244" s="2">
        <v>175.35</v>
      </c>
      <c r="E244" s="6">
        <f>_xlfn.RANK.EQ(C244,C:C,0)</f>
        <v>248</v>
      </c>
      <c r="F244" s="6">
        <f>_xlfn.RANK.EQ(D244,D:D,0)</f>
        <v>227</v>
      </c>
      <c r="G244" s="2">
        <f>E244*0.7+F244*0.3</f>
        <v>241.7</v>
      </c>
      <c r="H244" s="7">
        <v>243</v>
      </c>
    </row>
    <row r="245" spans="1:8" ht="12.45" customHeight="1" x14ac:dyDescent="0.3">
      <c r="A245" s="2" t="s">
        <v>970</v>
      </c>
      <c r="B245" s="2">
        <v>48</v>
      </c>
      <c r="C245" s="2">
        <v>3.25</v>
      </c>
      <c r="D245" s="2">
        <v>168.9</v>
      </c>
      <c r="E245" s="6">
        <f>_xlfn.RANK.EQ(C245,C:C,0)</f>
        <v>243</v>
      </c>
      <c r="F245" s="6">
        <f>_xlfn.RANK.EQ(D245,D:D,0)</f>
        <v>239</v>
      </c>
      <c r="G245" s="2">
        <f>E245*0.7+F245*0.3</f>
        <v>241.8</v>
      </c>
      <c r="H245" s="7">
        <v>244</v>
      </c>
    </row>
    <row r="246" spans="1:8" ht="12.45" customHeight="1" x14ac:dyDescent="0.3">
      <c r="A246" s="2" t="s">
        <v>971</v>
      </c>
      <c r="B246" s="2">
        <v>53</v>
      </c>
      <c r="C246" s="2">
        <v>3.21</v>
      </c>
      <c r="D246" s="2">
        <v>170.25</v>
      </c>
      <c r="E246" s="6">
        <f>_xlfn.RANK.EQ(C246,C:C,0)</f>
        <v>245</v>
      </c>
      <c r="F246" s="6">
        <f>_xlfn.RANK.EQ(D246,D:D,0)</f>
        <v>236</v>
      </c>
      <c r="G246" s="2">
        <f>E246*0.7+F246*0.3</f>
        <v>242.3</v>
      </c>
      <c r="H246" s="7">
        <v>245</v>
      </c>
    </row>
    <row r="247" spans="1:8" ht="12.45" customHeight="1" x14ac:dyDescent="0.3">
      <c r="A247" s="2" t="s">
        <v>972</v>
      </c>
      <c r="B247" s="2">
        <v>51</v>
      </c>
      <c r="C247" s="2">
        <v>3.15</v>
      </c>
      <c r="D247" s="2">
        <v>171.6</v>
      </c>
      <c r="E247" s="6">
        <f>_xlfn.RANK.EQ(C247,C:C,0)</f>
        <v>249</v>
      </c>
      <c r="F247" s="6">
        <f>_xlfn.RANK.EQ(D247,D:D,0)</f>
        <v>233</v>
      </c>
      <c r="G247" s="2">
        <f>E247*0.7+F247*0.3</f>
        <v>244.2</v>
      </c>
      <c r="H247" s="7">
        <v>246</v>
      </c>
    </row>
    <row r="248" spans="1:8" ht="12.45" customHeight="1" x14ac:dyDescent="0.3">
      <c r="A248" s="2" t="s">
        <v>973</v>
      </c>
      <c r="B248" s="2">
        <v>43</v>
      </c>
      <c r="C248" s="2">
        <v>3.31</v>
      </c>
      <c r="D248" s="2">
        <v>149.15</v>
      </c>
      <c r="E248" s="6">
        <f>_xlfn.RANK.EQ(C248,C:C,0)</f>
        <v>238</v>
      </c>
      <c r="F248" s="6">
        <f>_xlfn.RANK.EQ(D248,D:D,0)</f>
        <v>263</v>
      </c>
      <c r="G248" s="2">
        <f>E248*0.7+F248*0.3</f>
        <v>245.5</v>
      </c>
      <c r="H248" s="7">
        <v>247</v>
      </c>
    </row>
    <row r="249" spans="1:8" ht="12.45" customHeight="1" x14ac:dyDescent="0.3">
      <c r="A249" s="2" t="s">
        <v>974</v>
      </c>
      <c r="B249" s="2">
        <v>50.5</v>
      </c>
      <c r="C249" s="2">
        <v>3.09</v>
      </c>
      <c r="D249" s="2">
        <v>171.6</v>
      </c>
      <c r="E249" s="6">
        <f>_xlfn.RANK.EQ(C249,C:C,0)</f>
        <v>252</v>
      </c>
      <c r="F249" s="6">
        <f>_xlfn.RANK.EQ(D249,D:D,0)</f>
        <v>233</v>
      </c>
      <c r="G249" s="2">
        <f>E249*0.7+F249*0.3</f>
        <v>246.29999999999995</v>
      </c>
      <c r="H249" s="7">
        <v>248</v>
      </c>
    </row>
    <row r="250" spans="1:8" ht="12.45" customHeight="1" x14ac:dyDescent="0.3">
      <c r="A250" s="2" t="s">
        <v>975</v>
      </c>
      <c r="B250" s="2">
        <v>47.5</v>
      </c>
      <c r="C250" s="2">
        <v>3.02</v>
      </c>
      <c r="D250" s="2">
        <v>173.7</v>
      </c>
      <c r="E250" s="6">
        <f>_xlfn.RANK.EQ(C250,C:C,0)</f>
        <v>256</v>
      </c>
      <c r="F250" s="6">
        <f>_xlfn.RANK.EQ(D250,D:D,0)</f>
        <v>228</v>
      </c>
      <c r="G250" s="2">
        <f>E250*0.7+F250*0.3</f>
        <v>247.59999999999997</v>
      </c>
      <c r="H250" s="7">
        <v>249</v>
      </c>
    </row>
    <row r="251" spans="1:8" ht="12.45" customHeight="1" x14ac:dyDescent="0.3">
      <c r="A251" s="2" t="s">
        <v>976</v>
      </c>
      <c r="B251" s="2">
        <v>50</v>
      </c>
      <c r="C251" s="2">
        <v>3.2</v>
      </c>
      <c r="D251" s="2">
        <v>159.9</v>
      </c>
      <c r="E251" s="6">
        <f>_xlfn.RANK.EQ(C251,C:C,0)</f>
        <v>246</v>
      </c>
      <c r="F251" s="6">
        <f>_xlfn.RANK.EQ(D251,D:D,0)</f>
        <v>252</v>
      </c>
      <c r="G251" s="2">
        <f>E251*0.7+F251*0.3</f>
        <v>247.79999999999998</v>
      </c>
      <c r="H251" s="7">
        <v>250</v>
      </c>
    </row>
    <row r="252" spans="1:8" ht="12.45" customHeight="1" x14ac:dyDescent="0.3">
      <c r="A252" s="2" t="s">
        <v>977</v>
      </c>
      <c r="B252" s="2">
        <v>51</v>
      </c>
      <c r="C252" s="2">
        <v>3.19</v>
      </c>
      <c r="D252" s="2">
        <v>162.9</v>
      </c>
      <c r="E252" s="6">
        <f>_xlfn.RANK.EQ(C252,C:C,0)</f>
        <v>247</v>
      </c>
      <c r="F252" s="6">
        <f>_xlfn.RANK.EQ(D252,D:D,0)</f>
        <v>251</v>
      </c>
      <c r="G252" s="2">
        <f>E252*0.7+F252*0.3</f>
        <v>248.2</v>
      </c>
      <c r="H252" s="7">
        <v>251</v>
      </c>
    </row>
    <row r="253" spans="1:8" ht="12.45" customHeight="1" x14ac:dyDescent="0.3">
      <c r="A253" s="2" t="s">
        <v>978</v>
      </c>
      <c r="B253" s="2">
        <v>50</v>
      </c>
      <c r="C253" s="2">
        <v>3.08</v>
      </c>
      <c r="D253" s="2">
        <v>166.2</v>
      </c>
      <c r="E253" s="6">
        <f>_xlfn.RANK.EQ(C253,C:C,0)</f>
        <v>253</v>
      </c>
      <c r="F253" s="6">
        <f>_xlfn.RANK.EQ(D253,D:D,0)</f>
        <v>244</v>
      </c>
      <c r="G253" s="2">
        <f>E253*0.7+F253*0.3</f>
        <v>250.3</v>
      </c>
      <c r="H253" s="7">
        <v>252</v>
      </c>
    </row>
    <row r="254" spans="1:8" ht="12.45" customHeight="1" x14ac:dyDescent="0.3">
      <c r="A254" s="2" t="s">
        <v>979</v>
      </c>
      <c r="B254" s="2">
        <v>59</v>
      </c>
      <c r="C254" s="2">
        <v>2.92</v>
      </c>
      <c r="D254" s="2">
        <v>172.5</v>
      </c>
      <c r="E254" s="6">
        <f>_xlfn.RANK.EQ(C254,C:C,0)</f>
        <v>260</v>
      </c>
      <c r="F254" s="6">
        <f>_xlfn.RANK.EQ(D254,D:D,0)</f>
        <v>230</v>
      </c>
      <c r="G254" s="2">
        <f>E254*0.7+F254*0.3</f>
        <v>251</v>
      </c>
      <c r="H254" s="7">
        <v>253</v>
      </c>
    </row>
    <row r="255" spans="1:8" ht="12.45" customHeight="1" x14ac:dyDescent="0.3">
      <c r="A255" s="2" t="s">
        <v>980</v>
      </c>
      <c r="B255" s="2">
        <v>47</v>
      </c>
      <c r="C255" s="2">
        <v>3.13</v>
      </c>
      <c r="D255" s="2">
        <v>159.4</v>
      </c>
      <c r="E255" s="6">
        <f>_xlfn.RANK.EQ(C255,C:C,0)</f>
        <v>250</v>
      </c>
      <c r="F255" s="6">
        <f>_xlfn.RANK.EQ(D255,D:D,0)</f>
        <v>254</v>
      </c>
      <c r="G255" s="2">
        <f>E255*0.7+F255*0.3</f>
        <v>251.2</v>
      </c>
      <c r="H255" s="7">
        <v>254</v>
      </c>
    </row>
    <row r="256" spans="1:8" ht="12.45" customHeight="1" x14ac:dyDescent="0.3">
      <c r="A256" s="2" t="s">
        <v>981</v>
      </c>
      <c r="B256" s="2">
        <v>51.5</v>
      </c>
      <c r="C256" s="2">
        <v>2.99</v>
      </c>
      <c r="D256" s="2">
        <v>166.05</v>
      </c>
      <c r="E256" s="6">
        <f>_xlfn.RANK.EQ(C256,C:C,0)</f>
        <v>257</v>
      </c>
      <c r="F256" s="6">
        <f>_xlfn.RANK.EQ(D256,D:D,0)</f>
        <v>245</v>
      </c>
      <c r="G256" s="2">
        <f>E256*0.7+F256*0.3</f>
        <v>253.39999999999998</v>
      </c>
      <c r="H256" s="7">
        <v>255</v>
      </c>
    </row>
    <row r="257" spans="1:8" ht="12.45" customHeight="1" x14ac:dyDescent="0.3">
      <c r="A257" s="2" t="s">
        <v>982</v>
      </c>
      <c r="B257" s="2">
        <v>47</v>
      </c>
      <c r="C257" s="2">
        <v>3.03</v>
      </c>
      <c r="D257" s="2">
        <v>157.35</v>
      </c>
      <c r="E257" s="6">
        <f>_xlfn.RANK.EQ(C257,C:C,0)</f>
        <v>254</v>
      </c>
      <c r="F257" s="6">
        <f>_xlfn.RANK.EQ(D257,D:D,0)</f>
        <v>255</v>
      </c>
      <c r="G257" s="2">
        <f>E257*0.7+F257*0.3</f>
        <v>254.29999999999998</v>
      </c>
      <c r="H257" s="7">
        <v>256</v>
      </c>
    </row>
    <row r="258" spans="1:8" ht="12.45" customHeight="1" x14ac:dyDescent="0.3">
      <c r="A258" s="2" t="s">
        <v>983</v>
      </c>
      <c r="B258" s="2">
        <v>41.5</v>
      </c>
      <c r="C258" s="2">
        <v>3.03</v>
      </c>
      <c r="D258" s="2">
        <v>155.85</v>
      </c>
      <c r="E258" s="6">
        <f>_xlfn.RANK.EQ(C258,C:C,0)</f>
        <v>254</v>
      </c>
      <c r="F258" s="6">
        <f>_xlfn.RANK.EQ(D258,D:D,0)</f>
        <v>258</v>
      </c>
      <c r="G258" s="2">
        <f>E258*0.7+F258*0.3</f>
        <v>255.2</v>
      </c>
      <c r="H258" s="7">
        <v>257</v>
      </c>
    </row>
    <row r="259" spans="1:8" ht="12.45" customHeight="1" x14ac:dyDescent="0.3">
      <c r="A259" s="2" t="s">
        <v>984</v>
      </c>
      <c r="B259" s="2">
        <v>55</v>
      </c>
      <c r="C259" s="2">
        <v>2.98</v>
      </c>
      <c r="D259" s="2">
        <v>164.15</v>
      </c>
      <c r="E259" s="6">
        <f>_xlfn.RANK.EQ(C259,C:C,0)</f>
        <v>258</v>
      </c>
      <c r="F259" s="6">
        <f>_xlfn.RANK.EQ(D259,D:D,0)</f>
        <v>250</v>
      </c>
      <c r="G259" s="2">
        <f>E259*0.7+F259*0.3</f>
        <v>255.6</v>
      </c>
      <c r="H259" s="7">
        <v>258</v>
      </c>
    </row>
    <row r="260" spans="1:8" ht="12.45" customHeight="1" x14ac:dyDescent="0.3">
      <c r="A260" s="2" t="s">
        <v>985</v>
      </c>
      <c r="B260" s="2">
        <v>39.5</v>
      </c>
      <c r="C260" s="2">
        <v>3.12</v>
      </c>
      <c r="D260" s="2">
        <v>123.15</v>
      </c>
      <c r="E260" s="6">
        <f>_xlfn.RANK.EQ(C260,C:C,0)</f>
        <v>251</v>
      </c>
      <c r="F260" s="6">
        <f>_xlfn.RANK.EQ(D260,D:D,0)</f>
        <v>271</v>
      </c>
      <c r="G260" s="2">
        <f>E260*0.7+F260*0.3</f>
        <v>257</v>
      </c>
      <c r="H260" s="7">
        <v>259</v>
      </c>
    </row>
    <row r="261" spans="1:8" ht="12.45" customHeight="1" x14ac:dyDescent="0.3">
      <c r="A261" s="2" t="s">
        <v>986</v>
      </c>
      <c r="B261" s="2">
        <v>46.5</v>
      </c>
      <c r="C261" s="2">
        <v>2.98</v>
      </c>
      <c r="D261" s="2">
        <v>156.44999999999999</v>
      </c>
      <c r="E261" s="6">
        <f>_xlfn.RANK.EQ(C261,C:C,0)</f>
        <v>258</v>
      </c>
      <c r="F261" s="6">
        <f>_xlfn.RANK.EQ(D261,D:D,0)</f>
        <v>257</v>
      </c>
      <c r="G261" s="2">
        <f>E261*0.7+F261*0.3</f>
        <v>257.7</v>
      </c>
      <c r="H261" s="7">
        <v>260</v>
      </c>
    </row>
    <row r="262" spans="1:8" ht="12.45" customHeight="1" x14ac:dyDescent="0.3">
      <c r="A262" s="2" t="s">
        <v>987</v>
      </c>
      <c r="B262" s="2">
        <v>54.5</v>
      </c>
      <c r="C262" s="2">
        <v>2.87</v>
      </c>
      <c r="D262" s="2">
        <v>159.5</v>
      </c>
      <c r="E262" s="6">
        <f>_xlfn.RANK.EQ(C262,C:C,0)</f>
        <v>262</v>
      </c>
      <c r="F262" s="6">
        <f>_xlfn.RANK.EQ(D262,D:D,0)</f>
        <v>253</v>
      </c>
      <c r="G262" s="2">
        <f>E262*0.7+F262*0.3</f>
        <v>259.29999999999995</v>
      </c>
      <c r="H262" s="7">
        <v>261</v>
      </c>
    </row>
    <row r="263" spans="1:8" ht="12.45" customHeight="1" x14ac:dyDescent="0.3">
      <c r="A263" s="2" t="s">
        <v>988</v>
      </c>
      <c r="B263" s="2">
        <v>48</v>
      </c>
      <c r="C263" s="2">
        <v>2.87</v>
      </c>
      <c r="D263" s="2">
        <v>151.94999999999999</v>
      </c>
      <c r="E263" s="6">
        <f>_xlfn.RANK.EQ(C263,C:C,0)</f>
        <v>262</v>
      </c>
      <c r="F263" s="6">
        <f>_xlfn.RANK.EQ(D263,D:D,0)</f>
        <v>262</v>
      </c>
      <c r="G263" s="2">
        <f>E263*0.7+F263*0.3</f>
        <v>262</v>
      </c>
      <c r="H263" s="7">
        <v>262</v>
      </c>
    </row>
    <row r="264" spans="1:8" ht="12.45" customHeight="1" x14ac:dyDescent="0.3">
      <c r="A264" s="2" t="s">
        <v>989</v>
      </c>
      <c r="B264" s="2">
        <v>50</v>
      </c>
      <c r="C264" s="2">
        <v>2.88</v>
      </c>
      <c r="D264" s="2">
        <v>143.80000000000001</v>
      </c>
      <c r="E264" s="6">
        <f>_xlfn.RANK.EQ(C264,C:C,0)</f>
        <v>261</v>
      </c>
      <c r="F264" s="6">
        <f>_xlfn.RANK.EQ(D264,D:D,0)</f>
        <v>265</v>
      </c>
      <c r="G264" s="2">
        <f>E264*0.7+F264*0.3</f>
        <v>262.2</v>
      </c>
      <c r="H264" s="7">
        <v>263</v>
      </c>
    </row>
    <row r="265" spans="1:8" ht="12.45" customHeight="1" x14ac:dyDescent="0.3">
      <c r="A265" s="2" t="s">
        <v>990</v>
      </c>
      <c r="B265" s="2">
        <v>45.5</v>
      </c>
      <c r="C265" s="2">
        <v>2.83</v>
      </c>
      <c r="D265" s="2">
        <v>155.4</v>
      </c>
      <c r="E265" s="6">
        <f>_xlfn.RANK.EQ(C265,C:C,0)</f>
        <v>265</v>
      </c>
      <c r="F265" s="6">
        <f>_xlfn.RANK.EQ(D265,D:D,0)</f>
        <v>259</v>
      </c>
      <c r="G265" s="2">
        <f>E265*0.7+F265*0.3</f>
        <v>263.2</v>
      </c>
      <c r="H265" s="7">
        <v>264</v>
      </c>
    </row>
    <row r="266" spans="1:8" ht="12.45" customHeight="1" x14ac:dyDescent="0.3">
      <c r="A266" s="2" t="s">
        <v>991</v>
      </c>
      <c r="B266" s="2">
        <v>51.5</v>
      </c>
      <c r="C266" s="2">
        <v>2.81</v>
      </c>
      <c r="D266" s="2">
        <v>153.30000000000001</v>
      </c>
      <c r="E266" s="6">
        <f>_xlfn.RANK.EQ(C266,C:C,0)</f>
        <v>266</v>
      </c>
      <c r="F266" s="6">
        <f>_xlfn.RANK.EQ(D266,D:D,0)</f>
        <v>261</v>
      </c>
      <c r="G266" s="2">
        <f>E266*0.7+F266*0.3</f>
        <v>264.5</v>
      </c>
      <c r="H266" s="7">
        <v>265</v>
      </c>
    </row>
    <row r="267" spans="1:8" ht="12.45" customHeight="1" x14ac:dyDescent="0.3">
      <c r="A267" s="2" t="s">
        <v>992</v>
      </c>
      <c r="B267" s="2">
        <v>45.5</v>
      </c>
      <c r="C267" s="2">
        <v>2.81</v>
      </c>
      <c r="D267" s="2">
        <v>144.9</v>
      </c>
      <c r="E267" s="6">
        <f>_xlfn.RANK.EQ(C267,C:C,0)</f>
        <v>266</v>
      </c>
      <c r="F267" s="6">
        <f>_xlfn.RANK.EQ(D267,D:D,0)</f>
        <v>264</v>
      </c>
      <c r="G267" s="2">
        <f>E267*0.7+F267*0.3</f>
        <v>265.39999999999998</v>
      </c>
      <c r="H267" s="7">
        <v>266</v>
      </c>
    </row>
    <row r="268" spans="1:8" ht="12.45" customHeight="1" x14ac:dyDescent="0.3">
      <c r="A268" s="2" t="s">
        <v>993</v>
      </c>
      <c r="B268" s="2">
        <v>46.5</v>
      </c>
      <c r="C268" s="2">
        <v>2.85</v>
      </c>
      <c r="D268" s="2">
        <v>135.30000000000001</v>
      </c>
      <c r="E268" s="6">
        <f>_xlfn.RANK.EQ(C268,C:C,0)</f>
        <v>264</v>
      </c>
      <c r="F268" s="6">
        <f>_xlfn.RANK.EQ(D268,D:D,0)</f>
        <v>269</v>
      </c>
      <c r="G268" s="2">
        <f>E268*0.7+F268*0.3</f>
        <v>265.5</v>
      </c>
      <c r="H268" s="7">
        <v>267</v>
      </c>
    </row>
    <row r="269" spans="1:8" ht="12.45" customHeight="1" x14ac:dyDescent="0.3">
      <c r="A269" s="2" t="s">
        <v>994</v>
      </c>
      <c r="B269" s="2">
        <v>45</v>
      </c>
      <c r="C269" s="2">
        <v>2.71</v>
      </c>
      <c r="D269" s="2">
        <v>140.69999999999999</v>
      </c>
      <c r="E269" s="6">
        <f>_xlfn.RANK.EQ(C269,C:C,0)</f>
        <v>268</v>
      </c>
      <c r="F269" s="6">
        <f>_xlfn.RANK.EQ(D269,D:D,0)</f>
        <v>267</v>
      </c>
      <c r="G269" s="2">
        <f>E269*0.7+F269*0.3</f>
        <v>267.7</v>
      </c>
      <c r="H269" s="7">
        <v>268</v>
      </c>
    </row>
    <row r="270" spans="1:8" ht="12.45" customHeight="1" x14ac:dyDescent="0.3">
      <c r="A270" s="2" t="s">
        <v>995</v>
      </c>
      <c r="B270" s="2">
        <v>49.5</v>
      </c>
      <c r="C270" s="2">
        <v>2.64</v>
      </c>
      <c r="D270" s="2">
        <v>139.94999999999999</v>
      </c>
      <c r="E270" s="6">
        <f>_xlfn.RANK.EQ(C270,C:C,0)</f>
        <v>269</v>
      </c>
      <c r="F270" s="6">
        <f>_xlfn.RANK.EQ(D270,D:D,0)</f>
        <v>268</v>
      </c>
      <c r="G270" s="2">
        <f>E270*0.7+F270*0.3</f>
        <v>268.7</v>
      </c>
      <c r="H270" s="7">
        <v>269</v>
      </c>
    </row>
    <row r="271" spans="1:8" ht="12.45" customHeight="1" x14ac:dyDescent="0.3">
      <c r="A271" s="2" t="s">
        <v>996</v>
      </c>
      <c r="B271" s="2">
        <v>44</v>
      </c>
      <c r="C271" s="2">
        <v>2.57</v>
      </c>
      <c r="D271" s="2">
        <v>141.35</v>
      </c>
      <c r="E271" s="6">
        <f>_xlfn.RANK.EQ(C271,C:C,0)</f>
        <v>270</v>
      </c>
      <c r="F271" s="6">
        <f>_xlfn.RANK.EQ(D271,D:D,0)</f>
        <v>266</v>
      </c>
      <c r="G271" s="2">
        <f>E271*0.7+F271*0.3</f>
        <v>268.8</v>
      </c>
      <c r="H271" s="7">
        <v>270</v>
      </c>
    </row>
    <row r="272" spans="1:8" ht="12.45" customHeight="1" x14ac:dyDescent="0.3">
      <c r="A272" s="2" t="s">
        <v>997</v>
      </c>
      <c r="B272" s="2">
        <v>40</v>
      </c>
      <c r="C272" s="2">
        <v>2.36</v>
      </c>
      <c r="D272" s="2">
        <v>120.3</v>
      </c>
      <c r="E272" s="6">
        <f>_xlfn.RANK.EQ(C272,C:C,0)</f>
        <v>271</v>
      </c>
      <c r="F272" s="6">
        <f>_xlfn.RANK.EQ(D272,D:D,0)</f>
        <v>272</v>
      </c>
      <c r="G272" s="2">
        <f>E272*0.7+F272*0.3</f>
        <v>271.29999999999995</v>
      </c>
      <c r="H272" s="7">
        <v>271</v>
      </c>
    </row>
    <row r="273" spans="1:8" ht="12.45" customHeight="1" x14ac:dyDescent="0.3">
      <c r="A273" s="2" t="s">
        <v>998</v>
      </c>
      <c r="B273" s="2">
        <v>48.5</v>
      </c>
      <c r="C273" s="2">
        <v>2.29</v>
      </c>
      <c r="D273" s="2">
        <v>123.75</v>
      </c>
      <c r="E273" s="6">
        <f>_xlfn.RANK.EQ(C273,C:C,0)</f>
        <v>272</v>
      </c>
      <c r="F273" s="6">
        <f>_xlfn.RANK.EQ(D273,D:D,0)</f>
        <v>270</v>
      </c>
      <c r="G273" s="2">
        <f>E273*0.7+F273*0.3</f>
        <v>271.39999999999998</v>
      </c>
      <c r="H273" s="7">
        <v>272</v>
      </c>
    </row>
    <row r="274" spans="1:8" ht="12.45" customHeight="1" x14ac:dyDescent="0.3">
      <c r="A274" s="2" t="s">
        <v>999</v>
      </c>
      <c r="B274" s="2">
        <v>47.5</v>
      </c>
      <c r="C274" s="2">
        <v>2.2799999999999998</v>
      </c>
      <c r="D274" s="2">
        <v>110.7</v>
      </c>
      <c r="E274" s="6">
        <f>_xlfn.RANK.EQ(C274,C:C,0)</f>
        <v>273</v>
      </c>
      <c r="F274" s="6">
        <f>_xlfn.RANK.EQ(D274,D:D,0)</f>
        <v>274</v>
      </c>
      <c r="G274" s="2">
        <f>E274*0.7+F274*0.3</f>
        <v>273.3</v>
      </c>
      <c r="H274" s="7">
        <v>273</v>
      </c>
    </row>
    <row r="275" spans="1:8" ht="12.45" customHeight="1" x14ac:dyDescent="0.3">
      <c r="A275" s="2" t="s">
        <v>1000</v>
      </c>
      <c r="B275" s="2">
        <v>20.5</v>
      </c>
      <c r="C275" s="2">
        <v>2.2799999999999998</v>
      </c>
      <c r="D275" s="2">
        <v>63.75</v>
      </c>
      <c r="E275" s="6">
        <f>_xlfn.RANK.EQ(C275,C:C,0)</f>
        <v>273</v>
      </c>
      <c r="F275" s="6">
        <f>_xlfn.RANK.EQ(D275,D:D,0)</f>
        <v>277</v>
      </c>
      <c r="G275" s="2">
        <f>E275*0.7+F275*0.3</f>
        <v>274.2</v>
      </c>
      <c r="H275" s="7">
        <v>274</v>
      </c>
    </row>
    <row r="276" spans="1:8" ht="12.45" customHeight="1" x14ac:dyDescent="0.3">
      <c r="A276" s="2" t="s">
        <v>1001</v>
      </c>
      <c r="B276" s="2">
        <v>41</v>
      </c>
      <c r="C276" s="2">
        <v>2.23</v>
      </c>
      <c r="D276" s="2">
        <v>113.85</v>
      </c>
      <c r="E276" s="6">
        <f>_xlfn.RANK.EQ(C276,C:C,0)</f>
        <v>275</v>
      </c>
      <c r="F276" s="6">
        <f>_xlfn.RANK.EQ(D276,D:D,0)</f>
        <v>273</v>
      </c>
      <c r="G276" s="2">
        <f>E276*0.7+F276*0.3</f>
        <v>274.39999999999998</v>
      </c>
      <c r="H276" s="7">
        <v>275</v>
      </c>
    </row>
    <row r="277" spans="1:8" ht="12.45" customHeight="1" x14ac:dyDescent="0.3">
      <c r="A277" s="2" t="s">
        <v>1002</v>
      </c>
      <c r="B277" s="2">
        <v>40</v>
      </c>
      <c r="C277" s="2">
        <v>1.98</v>
      </c>
      <c r="D277" s="2">
        <v>98.1</v>
      </c>
      <c r="E277" s="6">
        <f>_xlfn.RANK.EQ(C277,C:C,0)</f>
        <v>276</v>
      </c>
      <c r="F277" s="6">
        <f>_xlfn.RANK.EQ(D277,D:D,0)</f>
        <v>275</v>
      </c>
      <c r="G277" s="2">
        <f>E277*0.7+F277*0.3</f>
        <v>275.7</v>
      </c>
      <c r="H277" s="7">
        <v>276</v>
      </c>
    </row>
    <row r="278" spans="1:8" ht="12.45" customHeight="1" x14ac:dyDescent="0.3">
      <c r="A278" s="2" t="s">
        <v>1003</v>
      </c>
      <c r="B278" s="2">
        <v>29.5</v>
      </c>
      <c r="C278" s="2">
        <v>1.53</v>
      </c>
      <c r="D278" s="2">
        <v>72.599999999999994</v>
      </c>
      <c r="E278" s="6">
        <f>_xlfn.RANK.EQ(C278,C:C,0)</f>
        <v>277</v>
      </c>
      <c r="F278" s="6">
        <f>_xlfn.RANK.EQ(D278,D:D,0)</f>
        <v>276</v>
      </c>
      <c r="G278" s="2">
        <f>E278*0.7+F278*0.3</f>
        <v>276.7</v>
      </c>
      <c r="H278" s="7">
        <v>277</v>
      </c>
    </row>
    <row r="279" spans="1:8" ht="12.45" customHeight="1" x14ac:dyDescent="0.3">
      <c r="A279" s="2" t="s">
        <v>1004</v>
      </c>
      <c r="B279" s="2">
        <v>24.5</v>
      </c>
      <c r="C279" s="2">
        <v>1.36</v>
      </c>
      <c r="D279" s="2">
        <v>61.05</v>
      </c>
      <c r="E279" s="6">
        <f>_xlfn.RANK.EQ(C279,C:C,0)</f>
        <v>278</v>
      </c>
      <c r="F279" s="6">
        <f>_xlfn.RANK.EQ(D279,D:D,0)</f>
        <v>278</v>
      </c>
      <c r="G279" s="2">
        <f>E279*0.7+F279*0.3</f>
        <v>278</v>
      </c>
      <c r="H279" s="7">
        <v>278</v>
      </c>
    </row>
    <row r="280" spans="1:8" ht="12.45" customHeight="1" x14ac:dyDescent="0.3">
      <c r="A280" s="2" t="s">
        <v>1005</v>
      </c>
      <c r="B280" s="2">
        <v>2</v>
      </c>
      <c r="C280" s="2">
        <v>0.31</v>
      </c>
      <c r="D280" s="2">
        <v>7.2</v>
      </c>
      <c r="E280" s="6">
        <f>_xlfn.RANK.EQ(C280,C:C,0)</f>
        <v>279</v>
      </c>
      <c r="F280" s="6">
        <f>_xlfn.RANK.EQ(D280,D:D,0)</f>
        <v>279</v>
      </c>
      <c r="G280" s="2">
        <f>E280*0.7+F280*0.3</f>
        <v>279</v>
      </c>
      <c r="H280" s="7">
        <v>279</v>
      </c>
    </row>
  </sheetData>
  <autoFilter ref="A1:H280" xr:uid="{10781067-D036-4E76-8BA7-4B38E9F107D8}">
    <sortState xmlns:xlrd2="http://schemas.microsoft.com/office/spreadsheetml/2017/richdata2" ref="A2:H280">
      <sortCondition ref="H61:H280"/>
    </sortState>
  </autoFilter>
  <sortState xmlns:xlrd2="http://schemas.microsoft.com/office/spreadsheetml/2017/richdata2" ref="A2:H281">
    <sortCondition ref="H235:H281"/>
  </sortState>
  <phoneticPr fontId="4" type="noConversion"/>
  <conditionalFormatting sqref="G11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00CF-8BC7-4C02-8EB9-7E440F0D82C7}">
  <sheetPr>
    <outlinePr summaryBelow="0" summaryRight="0"/>
  </sheetPr>
  <dimension ref="A1:H191"/>
  <sheetViews>
    <sheetView zoomScaleNormal="100" workbookViewId="0">
      <selection activeCell="I14" sqref="I14"/>
    </sheetView>
  </sheetViews>
  <sheetFormatPr defaultColWidth="8.6328125" defaultRowHeight="12.45" customHeight="1" x14ac:dyDescent="0.3"/>
  <cols>
    <col min="1" max="1" width="11.90625" style="8" customWidth="1"/>
    <col min="2" max="2" width="7.36328125" style="8" customWidth="1"/>
    <col min="3" max="3" width="10.6328125" style="8" customWidth="1"/>
    <col min="4" max="4" width="8.08984375" style="8" customWidth="1"/>
    <col min="5" max="6" width="9.08984375" style="8" customWidth="1"/>
    <col min="7" max="7" width="11.36328125" style="8" customWidth="1"/>
    <col min="8" max="8" width="6.90625" style="8" customWidth="1"/>
    <col min="9" max="16384" width="8.6328125" style="5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1124</v>
      </c>
      <c r="B2" s="2">
        <v>62</v>
      </c>
      <c r="C2" s="2">
        <v>4.7699999999999996</v>
      </c>
      <c r="D2" s="2">
        <v>293.8</v>
      </c>
      <c r="E2" s="6">
        <f t="shared" ref="E2:E33" si="0">_xlfn.RANK.EQ(C2,C:C,0)</f>
        <v>1</v>
      </c>
      <c r="F2" s="6">
        <f t="shared" ref="F2:F33" si="1">_xlfn.RANK.EQ(D2,D:D,0)</f>
        <v>2</v>
      </c>
      <c r="G2" s="2">
        <f t="shared" ref="G2:G33" si="2">E2*0.7+F2*0.3</f>
        <v>1.2999999999999998</v>
      </c>
      <c r="H2" s="7">
        <v>1</v>
      </c>
    </row>
    <row r="3" spans="1:8" ht="12.45" customHeight="1" x14ac:dyDescent="0.3">
      <c r="A3" s="2" t="s">
        <v>1125</v>
      </c>
      <c r="B3" s="2">
        <v>58.5</v>
      </c>
      <c r="C3" s="2">
        <v>4.68</v>
      </c>
      <c r="D3" s="2">
        <v>273.7</v>
      </c>
      <c r="E3" s="6">
        <f t="shared" si="0"/>
        <v>3</v>
      </c>
      <c r="F3" s="6">
        <f t="shared" si="1"/>
        <v>3</v>
      </c>
      <c r="G3" s="2">
        <f t="shared" si="2"/>
        <v>2.9999999999999996</v>
      </c>
      <c r="H3" s="7">
        <v>2</v>
      </c>
    </row>
    <row r="4" spans="1:8" ht="12.45" customHeight="1" x14ac:dyDescent="0.3">
      <c r="A4" s="2" t="s">
        <v>1126</v>
      </c>
      <c r="B4" s="2">
        <v>58.5</v>
      </c>
      <c r="C4" s="2">
        <v>4.7</v>
      </c>
      <c r="D4" s="2">
        <v>270.45</v>
      </c>
      <c r="E4" s="6">
        <f t="shared" si="0"/>
        <v>2</v>
      </c>
      <c r="F4" s="6">
        <f t="shared" si="1"/>
        <v>8</v>
      </c>
      <c r="G4" s="2">
        <f t="shared" si="2"/>
        <v>3.8</v>
      </c>
      <c r="H4" s="7">
        <v>3</v>
      </c>
    </row>
    <row r="5" spans="1:8" ht="12.45" customHeight="1" x14ac:dyDescent="0.3">
      <c r="A5" s="2" t="s">
        <v>1127</v>
      </c>
      <c r="B5" s="2">
        <v>58.5</v>
      </c>
      <c r="C5" s="2">
        <v>4.67</v>
      </c>
      <c r="D5" s="2">
        <v>272.95</v>
      </c>
      <c r="E5" s="6">
        <f t="shared" si="0"/>
        <v>5</v>
      </c>
      <c r="F5" s="6">
        <f t="shared" si="1"/>
        <v>4</v>
      </c>
      <c r="G5" s="2">
        <f t="shared" si="2"/>
        <v>4.7</v>
      </c>
      <c r="H5" s="7">
        <v>4</v>
      </c>
    </row>
    <row r="6" spans="1:8" ht="12.45" customHeight="1" x14ac:dyDescent="0.3">
      <c r="A6" s="2" t="s">
        <v>1128</v>
      </c>
      <c r="B6" s="2">
        <v>64</v>
      </c>
      <c r="C6" s="2">
        <v>4.62</v>
      </c>
      <c r="D6" s="2">
        <v>295.85000000000002</v>
      </c>
      <c r="E6" s="6">
        <f t="shared" si="0"/>
        <v>7</v>
      </c>
      <c r="F6" s="6">
        <f t="shared" si="1"/>
        <v>1</v>
      </c>
      <c r="G6" s="2">
        <f t="shared" si="2"/>
        <v>5.1999999999999993</v>
      </c>
      <c r="H6" s="7">
        <v>5</v>
      </c>
    </row>
    <row r="7" spans="1:8" ht="12.45" customHeight="1" x14ac:dyDescent="0.3">
      <c r="A7" s="2" t="s">
        <v>1129</v>
      </c>
      <c r="B7" s="2">
        <v>55</v>
      </c>
      <c r="C7" s="2">
        <v>4.68</v>
      </c>
      <c r="D7" s="2">
        <v>257.64999999999998</v>
      </c>
      <c r="E7" s="6">
        <f t="shared" si="0"/>
        <v>3</v>
      </c>
      <c r="F7" s="6">
        <f t="shared" si="1"/>
        <v>16</v>
      </c>
      <c r="G7" s="2">
        <f t="shared" si="2"/>
        <v>6.8999999999999995</v>
      </c>
      <c r="H7" s="7">
        <v>6</v>
      </c>
    </row>
    <row r="8" spans="1:8" ht="12.45" customHeight="1" x14ac:dyDescent="0.3">
      <c r="A8" s="2" t="s">
        <v>1130</v>
      </c>
      <c r="B8" s="2">
        <v>58</v>
      </c>
      <c r="C8" s="2">
        <v>4.5599999999999996</v>
      </c>
      <c r="D8" s="2">
        <v>264.39999999999998</v>
      </c>
      <c r="E8" s="6">
        <f t="shared" si="0"/>
        <v>10</v>
      </c>
      <c r="F8" s="6">
        <f t="shared" si="1"/>
        <v>11</v>
      </c>
      <c r="G8" s="2">
        <f t="shared" si="2"/>
        <v>10.3</v>
      </c>
      <c r="H8" s="7">
        <v>7</v>
      </c>
    </row>
    <row r="9" spans="1:8" ht="12.45" customHeight="1" x14ac:dyDescent="0.3">
      <c r="A9" s="2" t="s">
        <v>1131</v>
      </c>
      <c r="B9" s="2">
        <v>55.5</v>
      </c>
      <c r="C9" s="2">
        <v>4.6100000000000003</v>
      </c>
      <c r="D9" s="2">
        <v>255.85</v>
      </c>
      <c r="E9" s="6">
        <f t="shared" si="0"/>
        <v>9</v>
      </c>
      <c r="F9" s="6">
        <f t="shared" si="1"/>
        <v>18</v>
      </c>
      <c r="G9" s="2">
        <f t="shared" si="2"/>
        <v>11.7</v>
      </c>
      <c r="H9" s="7">
        <v>8</v>
      </c>
    </row>
    <row r="10" spans="1:8" ht="12.45" customHeight="1" x14ac:dyDescent="0.3">
      <c r="A10" s="2" t="s">
        <v>1132</v>
      </c>
      <c r="B10" s="2">
        <v>54</v>
      </c>
      <c r="C10" s="2">
        <v>4.62</v>
      </c>
      <c r="D10" s="2">
        <v>249.7</v>
      </c>
      <c r="E10" s="6">
        <f t="shared" si="0"/>
        <v>7</v>
      </c>
      <c r="F10" s="6">
        <f t="shared" si="1"/>
        <v>31</v>
      </c>
      <c r="G10" s="2">
        <f t="shared" si="2"/>
        <v>14.2</v>
      </c>
      <c r="H10" s="7">
        <v>9</v>
      </c>
    </row>
    <row r="11" spans="1:8" ht="12.45" customHeight="1" x14ac:dyDescent="0.3">
      <c r="A11" s="2" t="s">
        <v>1133</v>
      </c>
      <c r="B11" s="2">
        <v>59.5</v>
      </c>
      <c r="C11" s="2">
        <v>4.49</v>
      </c>
      <c r="D11" s="2">
        <v>262.8</v>
      </c>
      <c r="E11" s="6">
        <f t="shared" si="0"/>
        <v>16</v>
      </c>
      <c r="F11" s="6">
        <f t="shared" si="1"/>
        <v>12</v>
      </c>
      <c r="G11" s="2">
        <f t="shared" si="2"/>
        <v>14.799999999999999</v>
      </c>
      <c r="H11" s="7">
        <v>10</v>
      </c>
    </row>
    <row r="12" spans="1:8" ht="12.45" customHeight="1" x14ac:dyDescent="0.3">
      <c r="A12" s="2" t="s">
        <v>1137</v>
      </c>
      <c r="B12" s="2">
        <v>61</v>
      </c>
      <c r="C12" s="2">
        <v>4.46</v>
      </c>
      <c r="D12" s="2">
        <v>272.3</v>
      </c>
      <c r="E12" s="6">
        <f t="shared" si="0"/>
        <v>20</v>
      </c>
      <c r="F12" s="6">
        <f t="shared" si="1"/>
        <v>5</v>
      </c>
      <c r="G12" s="2">
        <f t="shared" si="2"/>
        <v>15.5</v>
      </c>
      <c r="H12" s="7">
        <v>11</v>
      </c>
    </row>
    <row r="13" spans="1:8" ht="12.45" customHeight="1" x14ac:dyDescent="0.3">
      <c r="A13" s="2" t="s">
        <v>1134</v>
      </c>
      <c r="B13" s="2">
        <v>55</v>
      </c>
      <c r="C13" s="2">
        <v>4.5599999999999996</v>
      </c>
      <c r="D13" s="2">
        <v>250.7</v>
      </c>
      <c r="E13" s="6">
        <f t="shared" si="0"/>
        <v>10</v>
      </c>
      <c r="F13" s="6">
        <f t="shared" si="1"/>
        <v>29</v>
      </c>
      <c r="G13" s="2">
        <f t="shared" si="2"/>
        <v>15.7</v>
      </c>
      <c r="H13" s="7">
        <v>12</v>
      </c>
    </row>
    <row r="14" spans="1:8" ht="12.45" customHeight="1" x14ac:dyDescent="0.3">
      <c r="A14" s="2" t="s">
        <v>1143</v>
      </c>
      <c r="B14" s="2">
        <v>57.5</v>
      </c>
      <c r="C14" s="2">
        <v>4.49</v>
      </c>
      <c r="D14" s="2">
        <v>258.3</v>
      </c>
      <c r="E14" s="6">
        <f t="shared" si="0"/>
        <v>16</v>
      </c>
      <c r="F14" s="6">
        <f t="shared" si="1"/>
        <v>15</v>
      </c>
      <c r="G14" s="2">
        <f t="shared" si="2"/>
        <v>15.7</v>
      </c>
      <c r="H14" s="7">
        <v>12</v>
      </c>
    </row>
    <row r="15" spans="1:8" ht="12.45" customHeight="1" x14ac:dyDescent="0.3">
      <c r="A15" s="2" t="s">
        <v>1136</v>
      </c>
      <c r="B15" s="2">
        <v>51.5</v>
      </c>
      <c r="C15" s="2">
        <v>4.67</v>
      </c>
      <c r="D15" s="2">
        <v>240.4</v>
      </c>
      <c r="E15" s="6">
        <f t="shared" si="0"/>
        <v>5</v>
      </c>
      <c r="F15" s="6">
        <f t="shared" si="1"/>
        <v>43</v>
      </c>
      <c r="G15" s="2">
        <f t="shared" si="2"/>
        <v>16.399999999999999</v>
      </c>
      <c r="H15" s="7">
        <v>14</v>
      </c>
    </row>
    <row r="16" spans="1:8" ht="12.45" customHeight="1" x14ac:dyDescent="0.3">
      <c r="A16" s="2" t="s">
        <v>1135</v>
      </c>
      <c r="B16" s="2">
        <v>55.5</v>
      </c>
      <c r="C16" s="2">
        <v>4.55</v>
      </c>
      <c r="D16" s="2">
        <v>252.55</v>
      </c>
      <c r="E16" s="6">
        <f t="shared" si="0"/>
        <v>13</v>
      </c>
      <c r="F16" s="6">
        <f t="shared" si="1"/>
        <v>25</v>
      </c>
      <c r="G16" s="2">
        <f t="shared" si="2"/>
        <v>16.600000000000001</v>
      </c>
      <c r="H16" s="7">
        <v>15</v>
      </c>
    </row>
    <row r="17" spans="1:8" ht="12.45" customHeight="1" x14ac:dyDescent="0.3">
      <c r="A17" s="2" t="s">
        <v>1141</v>
      </c>
      <c r="B17" s="2">
        <v>61</v>
      </c>
      <c r="C17" s="2">
        <v>4.4400000000000004</v>
      </c>
      <c r="D17" s="2">
        <v>270.89999999999998</v>
      </c>
      <c r="E17" s="6">
        <f t="shared" si="0"/>
        <v>23</v>
      </c>
      <c r="F17" s="6">
        <f t="shared" si="1"/>
        <v>6</v>
      </c>
      <c r="G17" s="2">
        <f t="shared" si="2"/>
        <v>17.899999999999999</v>
      </c>
      <c r="H17" s="7">
        <v>16</v>
      </c>
    </row>
    <row r="18" spans="1:8" ht="12.45" customHeight="1" x14ac:dyDescent="0.3">
      <c r="A18" s="2" t="s">
        <v>1138</v>
      </c>
      <c r="B18" s="2">
        <v>53.5</v>
      </c>
      <c r="C18" s="2">
        <v>4.5599999999999996</v>
      </c>
      <c r="D18" s="2">
        <v>243.95</v>
      </c>
      <c r="E18" s="6">
        <f t="shared" si="0"/>
        <v>10</v>
      </c>
      <c r="F18" s="6">
        <f t="shared" si="1"/>
        <v>39</v>
      </c>
      <c r="G18" s="2">
        <f t="shared" si="2"/>
        <v>18.7</v>
      </c>
      <c r="H18" s="7">
        <v>17</v>
      </c>
    </row>
    <row r="19" spans="1:8" ht="12.45" customHeight="1" x14ac:dyDescent="0.3">
      <c r="A19" s="2" t="s">
        <v>1142</v>
      </c>
      <c r="B19" s="2">
        <v>60</v>
      </c>
      <c r="C19" s="2">
        <v>4.4400000000000004</v>
      </c>
      <c r="D19" s="2">
        <v>266.35000000000002</v>
      </c>
      <c r="E19" s="6">
        <f t="shared" si="0"/>
        <v>23</v>
      </c>
      <c r="F19" s="6">
        <f t="shared" si="1"/>
        <v>10</v>
      </c>
      <c r="G19" s="2">
        <f t="shared" si="2"/>
        <v>19.099999999999998</v>
      </c>
      <c r="H19" s="7">
        <v>18</v>
      </c>
    </row>
    <row r="20" spans="1:8" ht="12.45" customHeight="1" x14ac:dyDescent="0.3">
      <c r="A20" s="2" t="s">
        <v>1139</v>
      </c>
      <c r="B20" s="2">
        <v>57.5</v>
      </c>
      <c r="C20" s="2">
        <v>4.46</v>
      </c>
      <c r="D20" s="2">
        <v>256.3</v>
      </c>
      <c r="E20" s="6">
        <f t="shared" si="0"/>
        <v>20</v>
      </c>
      <c r="F20" s="6">
        <f t="shared" si="1"/>
        <v>17</v>
      </c>
      <c r="G20" s="2">
        <f t="shared" si="2"/>
        <v>19.100000000000001</v>
      </c>
      <c r="H20" s="7">
        <v>18</v>
      </c>
    </row>
    <row r="21" spans="1:8" ht="12.45" customHeight="1" x14ac:dyDescent="0.3">
      <c r="A21" s="2" t="s">
        <v>1140</v>
      </c>
      <c r="B21" s="2">
        <v>56.5</v>
      </c>
      <c r="C21" s="2">
        <v>4.4800000000000004</v>
      </c>
      <c r="D21" s="2">
        <v>253</v>
      </c>
      <c r="E21" s="6">
        <f t="shared" si="0"/>
        <v>19</v>
      </c>
      <c r="F21" s="6">
        <f t="shared" si="1"/>
        <v>24</v>
      </c>
      <c r="G21" s="2">
        <f t="shared" si="2"/>
        <v>20.5</v>
      </c>
      <c r="H21" s="7">
        <v>20</v>
      </c>
    </row>
    <row r="22" spans="1:8" ht="12.45" customHeight="1" x14ac:dyDescent="0.3">
      <c r="A22" s="2" t="s">
        <v>1144</v>
      </c>
      <c r="B22" s="2">
        <v>61</v>
      </c>
      <c r="C22" s="2">
        <v>4.4000000000000004</v>
      </c>
      <c r="D22" s="2">
        <v>268.39999999999998</v>
      </c>
      <c r="E22" s="6">
        <f t="shared" si="0"/>
        <v>29</v>
      </c>
      <c r="F22" s="6">
        <f t="shared" si="1"/>
        <v>9</v>
      </c>
      <c r="G22" s="2">
        <f t="shared" si="2"/>
        <v>22.999999999999996</v>
      </c>
      <c r="H22" s="7">
        <v>21</v>
      </c>
    </row>
    <row r="23" spans="1:8" ht="12.45" customHeight="1" x14ac:dyDescent="0.3">
      <c r="A23" s="2" t="s">
        <v>1145</v>
      </c>
      <c r="B23" s="2">
        <v>53</v>
      </c>
      <c r="C23" s="2">
        <v>4.5199999999999996</v>
      </c>
      <c r="D23" s="2">
        <v>239.8</v>
      </c>
      <c r="E23" s="6">
        <f t="shared" si="0"/>
        <v>14</v>
      </c>
      <c r="F23" s="6">
        <f t="shared" si="1"/>
        <v>44</v>
      </c>
      <c r="G23" s="2">
        <f t="shared" si="2"/>
        <v>23</v>
      </c>
      <c r="H23" s="7">
        <v>21</v>
      </c>
    </row>
    <row r="24" spans="1:8" ht="12.45" customHeight="1" x14ac:dyDescent="0.3">
      <c r="A24" s="2" t="s">
        <v>1149</v>
      </c>
      <c r="B24" s="2">
        <v>59.5</v>
      </c>
      <c r="C24" s="2">
        <v>4.3899999999999997</v>
      </c>
      <c r="D24" s="2">
        <v>261.2</v>
      </c>
      <c r="E24" s="6">
        <f t="shared" si="0"/>
        <v>32</v>
      </c>
      <c r="F24" s="6">
        <f t="shared" si="1"/>
        <v>13</v>
      </c>
      <c r="G24" s="2">
        <f t="shared" si="2"/>
        <v>26.299999999999997</v>
      </c>
      <c r="H24" s="7">
        <v>23</v>
      </c>
    </row>
    <row r="25" spans="1:8" ht="12.45" customHeight="1" x14ac:dyDescent="0.3">
      <c r="A25" s="2" t="s">
        <v>1146</v>
      </c>
      <c r="B25" s="2">
        <v>57.5</v>
      </c>
      <c r="C25" s="2">
        <v>4.41</v>
      </c>
      <c r="D25" s="2">
        <v>253.35</v>
      </c>
      <c r="E25" s="6">
        <f t="shared" si="0"/>
        <v>28</v>
      </c>
      <c r="F25" s="6">
        <f t="shared" si="1"/>
        <v>23</v>
      </c>
      <c r="G25" s="2">
        <f t="shared" si="2"/>
        <v>26.499999999999996</v>
      </c>
      <c r="H25" s="7">
        <v>24</v>
      </c>
    </row>
    <row r="26" spans="1:8" ht="12.45" customHeight="1" x14ac:dyDescent="0.3">
      <c r="A26" s="2" t="s">
        <v>1147</v>
      </c>
      <c r="B26" s="2">
        <v>54.5</v>
      </c>
      <c r="C26" s="2">
        <v>4.45</v>
      </c>
      <c r="D26" s="2">
        <v>242.7</v>
      </c>
      <c r="E26" s="6">
        <f t="shared" si="0"/>
        <v>22</v>
      </c>
      <c r="F26" s="6">
        <f t="shared" si="1"/>
        <v>40</v>
      </c>
      <c r="G26" s="2">
        <f t="shared" si="2"/>
        <v>27.4</v>
      </c>
      <c r="H26" s="7">
        <v>25</v>
      </c>
    </row>
    <row r="27" spans="1:8" ht="12.45" customHeight="1" x14ac:dyDescent="0.3">
      <c r="A27" s="2" t="s">
        <v>1148</v>
      </c>
      <c r="B27" s="2">
        <v>63</v>
      </c>
      <c r="C27" s="2">
        <v>4.3600000000000003</v>
      </c>
      <c r="D27" s="2">
        <v>270.60000000000002</v>
      </c>
      <c r="E27" s="6">
        <f t="shared" si="0"/>
        <v>37</v>
      </c>
      <c r="F27" s="6">
        <f t="shared" si="1"/>
        <v>7</v>
      </c>
      <c r="G27" s="2">
        <f t="shared" si="2"/>
        <v>28</v>
      </c>
      <c r="H27" s="7">
        <v>26</v>
      </c>
    </row>
    <row r="28" spans="1:8" ht="12.45" customHeight="1" x14ac:dyDescent="0.3">
      <c r="A28" s="2" t="s">
        <v>1156</v>
      </c>
      <c r="B28" s="2">
        <v>59</v>
      </c>
      <c r="C28" s="2">
        <v>4.3899999999999997</v>
      </c>
      <c r="D28" s="2">
        <v>254.5</v>
      </c>
      <c r="E28" s="6">
        <f t="shared" si="0"/>
        <v>32</v>
      </c>
      <c r="F28" s="6">
        <f t="shared" si="1"/>
        <v>21</v>
      </c>
      <c r="G28" s="2">
        <f t="shared" si="2"/>
        <v>28.7</v>
      </c>
      <c r="H28" s="7">
        <v>27</v>
      </c>
    </row>
    <row r="29" spans="1:8" ht="12.45" customHeight="1" x14ac:dyDescent="0.3">
      <c r="A29" s="2" t="s">
        <v>1150</v>
      </c>
      <c r="B29" s="2">
        <v>58.5</v>
      </c>
      <c r="C29" s="2">
        <v>4.37</v>
      </c>
      <c r="D29" s="2">
        <v>255.45</v>
      </c>
      <c r="E29" s="6">
        <f t="shared" si="0"/>
        <v>36</v>
      </c>
      <c r="F29" s="6">
        <f t="shared" si="1"/>
        <v>19</v>
      </c>
      <c r="G29" s="2">
        <f t="shared" si="2"/>
        <v>30.9</v>
      </c>
      <c r="H29" s="7">
        <v>28</v>
      </c>
    </row>
    <row r="30" spans="1:8" ht="12.45" customHeight="1" x14ac:dyDescent="0.3">
      <c r="A30" s="2" t="s">
        <v>1155</v>
      </c>
      <c r="B30" s="2">
        <v>57</v>
      </c>
      <c r="C30" s="2">
        <v>4.3899999999999997</v>
      </c>
      <c r="D30" s="2">
        <v>250.45</v>
      </c>
      <c r="E30" s="6">
        <f t="shared" si="0"/>
        <v>32</v>
      </c>
      <c r="F30" s="6">
        <f t="shared" si="1"/>
        <v>30</v>
      </c>
      <c r="G30" s="2">
        <f t="shared" si="2"/>
        <v>31.4</v>
      </c>
      <c r="H30" s="7">
        <v>29</v>
      </c>
    </row>
    <row r="31" spans="1:8" ht="12.45" customHeight="1" x14ac:dyDescent="0.3">
      <c r="A31" s="2" t="s">
        <v>1157</v>
      </c>
      <c r="B31" s="2">
        <v>60.5</v>
      </c>
      <c r="C31" s="2">
        <v>4.32</v>
      </c>
      <c r="D31" s="2">
        <v>261.10000000000002</v>
      </c>
      <c r="E31" s="6">
        <f t="shared" si="0"/>
        <v>42</v>
      </c>
      <c r="F31" s="6">
        <f t="shared" si="1"/>
        <v>14</v>
      </c>
      <c r="G31" s="2">
        <f t="shared" si="2"/>
        <v>33.6</v>
      </c>
      <c r="H31" s="7">
        <v>30</v>
      </c>
    </row>
    <row r="32" spans="1:8" ht="12.45" customHeight="1" x14ac:dyDescent="0.3">
      <c r="A32" s="2" t="s">
        <v>1153</v>
      </c>
      <c r="B32" s="2">
        <v>57</v>
      </c>
      <c r="C32" s="2">
        <v>4.38</v>
      </c>
      <c r="D32" s="2">
        <v>245.15</v>
      </c>
      <c r="E32" s="6">
        <f t="shared" si="0"/>
        <v>35</v>
      </c>
      <c r="F32" s="6">
        <f t="shared" si="1"/>
        <v>35</v>
      </c>
      <c r="G32" s="2">
        <f t="shared" si="2"/>
        <v>35</v>
      </c>
      <c r="H32" s="7">
        <v>31</v>
      </c>
    </row>
    <row r="33" spans="1:8" ht="12.45" customHeight="1" x14ac:dyDescent="0.3">
      <c r="A33" s="2" t="s">
        <v>1151</v>
      </c>
      <c r="B33" s="2">
        <v>48.5</v>
      </c>
      <c r="C33" s="2">
        <v>4.5199999999999996</v>
      </c>
      <c r="D33" s="2">
        <v>219.35</v>
      </c>
      <c r="E33" s="6">
        <f t="shared" si="0"/>
        <v>14</v>
      </c>
      <c r="F33" s="6">
        <f t="shared" si="1"/>
        <v>86</v>
      </c>
      <c r="G33" s="2">
        <f t="shared" si="2"/>
        <v>35.6</v>
      </c>
      <c r="H33" s="7">
        <v>32</v>
      </c>
    </row>
    <row r="34" spans="1:8" ht="12.45" customHeight="1" x14ac:dyDescent="0.3">
      <c r="A34" s="2" t="s">
        <v>1154</v>
      </c>
      <c r="B34" s="2">
        <v>49</v>
      </c>
      <c r="C34" s="2">
        <v>4.49</v>
      </c>
      <c r="D34" s="2">
        <v>220.15</v>
      </c>
      <c r="E34" s="6">
        <f t="shared" ref="E34:E65" si="3">_xlfn.RANK.EQ(C34,C:C,0)</f>
        <v>16</v>
      </c>
      <c r="F34" s="6">
        <f t="shared" ref="F34:F65" si="4">_xlfn.RANK.EQ(D34,D:D,0)</f>
        <v>82</v>
      </c>
      <c r="G34" s="2">
        <f t="shared" ref="G34:G65" si="5">E34*0.7+F34*0.3</f>
        <v>35.799999999999997</v>
      </c>
      <c r="H34" s="7">
        <v>33</v>
      </c>
    </row>
    <row r="35" spans="1:8" ht="12.45" customHeight="1" x14ac:dyDescent="0.3">
      <c r="A35" s="2" t="s">
        <v>1152</v>
      </c>
      <c r="B35" s="2">
        <v>51.5</v>
      </c>
      <c r="C35" s="2">
        <v>4.43</v>
      </c>
      <c r="D35" s="2">
        <v>228.35</v>
      </c>
      <c r="E35" s="6">
        <f t="shared" si="3"/>
        <v>26</v>
      </c>
      <c r="F35" s="6">
        <f t="shared" si="4"/>
        <v>59</v>
      </c>
      <c r="G35" s="2">
        <f t="shared" si="5"/>
        <v>35.9</v>
      </c>
      <c r="H35" s="7">
        <v>34</v>
      </c>
    </row>
    <row r="36" spans="1:8" ht="12.45" customHeight="1" x14ac:dyDescent="0.3">
      <c r="A36" s="2" t="s">
        <v>1165</v>
      </c>
      <c r="B36" s="2">
        <v>51.5</v>
      </c>
      <c r="C36" s="2">
        <v>4.42</v>
      </c>
      <c r="D36" s="2">
        <v>227.4</v>
      </c>
      <c r="E36" s="6">
        <f t="shared" si="3"/>
        <v>27</v>
      </c>
      <c r="F36" s="6">
        <f t="shared" si="4"/>
        <v>60</v>
      </c>
      <c r="G36" s="2">
        <f t="shared" si="5"/>
        <v>36.9</v>
      </c>
      <c r="H36" s="7">
        <v>35</v>
      </c>
    </row>
    <row r="37" spans="1:8" ht="12.45" customHeight="1" x14ac:dyDescent="0.3">
      <c r="A37" s="2" t="s">
        <v>1158</v>
      </c>
      <c r="B37" s="2">
        <v>57</v>
      </c>
      <c r="C37" s="2">
        <v>4.3600000000000003</v>
      </c>
      <c r="D37" s="2">
        <v>244.05</v>
      </c>
      <c r="E37" s="6">
        <f t="shared" si="3"/>
        <v>37</v>
      </c>
      <c r="F37" s="6">
        <f t="shared" si="4"/>
        <v>37</v>
      </c>
      <c r="G37" s="2">
        <f t="shared" si="5"/>
        <v>37</v>
      </c>
      <c r="H37" s="7">
        <v>36</v>
      </c>
    </row>
    <row r="38" spans="1:8" ht="12.45" customHeight="1" x14ac:dyDescent="0.3">
      <c r="A38" s="2" t="s">
        <v>1159</v>
      </c>
      <c r="B38" s="2">
        <v>59.5</v>
      </c>
      <c r="C38" s="2">
        <v>4.3099999999999996</v>
      </c>
      <c r="D38" s="2">
        <v>252.4</v>
      </c>
      <c r="E38" s="6">
        <f t="shared" si="3"/>
        <v>45</v>
      </c>
      <c r="F38" s="6">
        <f t="shared" si="4"/>
        <v>27</v>
      </c>
      <c r="G38" s="2">
        <f t="shared" si="5"/>
        <v>39.599999999999994</v>
      </c>
      <c r="H38" s="7">
        <v>37</v>
      </c>
    </row>
    <row r="39" spans="1:8" ht="12.45" customHeight="1" x14ac:dyDescent="0.3">
      <c r="A39" s="2" t="s">
        <v>1161</v>
      </c>
      <c r="B39" s="2">
        <v>59.5</v>
      </c>
      <c r="C39" s="2">
        <v>4.28</v>
      </c>
      <c r="D39" s="2">
        <v>254.65</v>
      </c>
      <c r="E39" s="6">
        <f t="shared" si="3"/>
        <v>48</v>
      </c>
      <c r="F39" s="6">
        <f t="shared" si="4"/>
        <v>20</v>
      </c>
      <c r="G39" s="2">
        <f t="shared" si="5"/>
        <v>39.599999999999994</v>
      </c>
      <c r="H39" s="7">
        <v>37</v>
      </c>
    </row>
    <row r="40" spans="1:8" ht="12.45" customHeight="1" x14ac:dyDescent="0.3">
      <c r="A40" s="2" t="s">
        <v>1160</v>
      </c>
      <c r="B40" s="2">
        <v>51.5</v>
      </c>
      <c r="C40" s="2">
        <v>4.4000000000000004</v>
      </c>
      <c r="D40" s="2">
        <v>226.35</v>
      </c>
      <c r="E40" s="6">
        <f t="shared" si="3"/>
        <v>29</v>
      </c>
      <c r="F40" s="6">
        <f t="shared" si="4"/>
        <v>67</v>
      </c>
      <c r="G40" s="2">
        <f t="shared" si="5"/>
        <v>40.399999999999991</v>
      </c>
      <c r="H40" s="7">
        <v>39</v>
      </c>
    </row>
    <row r="41" spans="1:8" ht="12.45" customHeight="1" x14ac:dyDescent="0.3">
      <c r="A41" s="2" t="s">
        <v>1163</v>
      </c>
      <c r="B41" s="2">
        <v>59</v>
      </c>
      <c r="C41" s="2">
        <v>4.28</v>
      </c>
      <c r="D41" s="2">
        <v>252.5</v>
      </c>
      <c r="E41" s="6">
        <f t="shared" si="3"/>
        <v>48</v>
      </c>
      <c r="F41" s="6">
        <f t="shared" si="4"/>
        <v>26</v>
      </c>
      <c r="G41" s="2">
        <f t="shared" si="5"/>
        <v>41.399999999999991</v>
      </c>
      <c r="H41" s="7">
        <v>40</v>
      </c>
    </row>
    <row r="42" spans="1:8" ht="12.45" customHeight="1" x14ac:dyDescent="0.3">
      <c r="A42" s="2" t="s">
        <v>1162</v>
      </c>
      <c r="B42" s="2">
        <v>56</v>
      </c>
      <c r="C42" s="2">
        <v>4.32</v>
      </c>
      <c r="D42" s="2">
        <v>241.85</v>
      </c>
      <c r="E42" s="6">
        <f t="shared" si="3"/>
        <v>42</v>
      </c>
      <c r="F42" s="6">
        <f t="shared" si="4"/>
        <v>42</v>
      </c>
      <c r="G42" s="2">
        <f t="shared" si="5"/>
        <v>42</v>
      </c>
      <c r="H42" s="7">
        <v>41</v>
      </c>
    </row>
    <row r="43" spans="1:8" ht="12.45" customHeight="1" x14ac:dyDescent="0.3">
      <c r="A43" s="2" t="s">
        <v>1169</v>
      </c>
      <c r="B43" s="2">
        <v>57.5</v>
      </c>
      <c r="C43" s="2">
        <v>4.3</v>
      </c>
      <c r="D43" s="2">
        <v>247</v>
      </c>
      <c r="E43" s="6">
        <f t="shared" si="3"/>
        <v>47</v>
      </c>
      <c r="F43" s="6">
        <f t="shared" si="4"/>
        <v>32</v>
      </c>
      <c r="G43" s="2">
        <f t="shared" si="5"/>
        <v>42.5</v>
      </c>
      <c r="H43" s="7">
        <v>42</v>
      </c>
    </row>
    <row r="44" spans="1:8" ht="12.45" customHeight="1" x14ac:dyDescent="0.3">
      <c r="A44" s="2" t="s">
        <v>1164</v>
      </c>
      <c r="B44" s="2">
        <v>49</v>
      </c>
      <c r="C44" s="2">
        <v>4.4400000000000004</v>
      </c>
      <c r="D44" s="2">
        <v>217.4</v>
      </c>
      <c r="E44" s="6">
        <f t="shared" si="3"/>
        <v>23</v>
      </c>
      <c r="F44" s="6">
        <f t="shared" si="4"/>
        <v>89</v>
      </c>
      <c r="G44" s="2">
        <f t="shared" si="5"/>
        <v>42.8</v>
      </c>
      <c r="H44" s="7">
        <v>43</v>
      </c>
    </row>
    <row r="45" spans="1:8" ht="12.45" customHeight="1" x14ac:dyDescent="0.3">
      <c r="A45" s="2" t="s">
        <v>1173</v>
      </c>
      <c r="B45" s="2">
        <v>54.5</v>
      </c>
      <c r="C45" s="2">
        <v>4.32</v>
      </c>
      <c r="D45" s="2">
        <v>235.35</v>
      </c>
      <c r="E45" s="6">
        <f t="shared" si="3"/>
        <v>42</v>
      </c>
      <c r="F45" s="6">
        <f t="shared" si="4"/>
        <v>49</v>
      </c>
      <c r="G45" s="2">
        <f t="shared" si="5"/>
        <v>44.099999999999994</v>
      </c>
      <c r="H45" s="7">
        <v>44</v>
      </c>
    </row>
    <row r="46" spans="1:8" ht="12.45" customHeight="1" x14ac:dyDescent="0.3">
      <c r="A46" s="2" t="s">
        <v>1176</v>
      </c>
      <c r="B46" s="2">
        <v>53.5</v>
      </c>
      <c r="C46" s="2">
        <v>4.33</v>
      </c>
      <c r="D46" s="2">
        <v>231.4</v>
      </c>
      <c r="E46" s="6">
        <f t="shared" si="3"/>
        <v>41</v>
      </c>
      <c r="F46" s="6">
        <f t="shared" si="4"/>
        <v>53</v>
      </c>
      <c r="G46" s="2">
        <f t="shared" si="5"/>
        <v>44.599999999999994</v>
      </c>
      <c r="H46" s="7">
        <v>45</v>
      </c>
    </row>
    <row r="47" spans="1:8" ht="12.45" customHeight="1" x14ac:dyDescent="0.3">
      <c r="A47" s="2" t="s">
        <v>1167</v>
      </c>
      <c r="B47" s="2">
        <v>57</v>
      </c>
      <c r="C47" s="2">
        <v>4.28</v>
      </c>
      <c r="D47" s="2">
        <v>244.05</v>
      </c>
      <c r="E47" s="6">
        <f t="shared" si="3"/>
        <v>48</v>
      </c>
      <c r="F47" s="6">
        <f t="shared" si="4"/>
        <v>37</v>
      </c>
      <c r="G47" s="2">
        <f t="shared" si="5"/>
        <v>44.699999999999996</v>
      </c>
      <c r="H47" s="7">
        <v>46</v>
      </c>
    </row>
    <row r="48" spans="1:8" ht="12.45" customHeight="1" x14ac:dyDescent="0.3">
      <c r="A48" s="2" t="s">
        <v>1166</v>
      </c>
      <c r="B48" s="2">
        <v>52</v>
      </c>
      <c r="C48" s="2">
        <v>4.3600000000000003</v>
      </c>
      <c r="D48" s="2">
        <v>226.7</v>
      </c>
      <c r="E48" s="6">
        <f t="shared" si="3"/>
        <v>37</v>
      </c>
      <c r="F48" s="6">
        <f t="shared" si="4"/>
        <v>65</v>
      </c>
      <c r="G48" s="2">
        <f t="shared" si="5"/>
        <v>45.4</v>
      </c>
      <c r="H48" s="7">
        <v>47</v>
      </c>
    </row>
    <row r="49" spans="1:8" ht="12.45" customHeight="1" x14ac:dyDescent="0.3">
      <c r="A49" s="2" t="s">
        <v>1174</v>
      </c>
      <c r="B49" s="2">
        <v>50</v>
      </c>
      <c r="C49" s="2">
        <v>4.4000000000000004</v>
      </c>
      <c r="D49" s="2">
        <v>219.8</v>
      </c>
      <c r="E49" s="6">
        <f t="shared" si="3"/>
        <v>29</v>
      </c>
      <c r="F49" s="6">
        <f t="shared" si="4"/>
        <v>84</v>
      </c>
      <c r="G49" s="2">
        <f t="shared" si="5"/>
        <v>45.5</v>
      </c>
      <c r="H49" s="7">
        <v>48</v>
      </c>
    </row>
    <row r="50" spans="1:8" ht="12.45" customHeight="1" x14ac:dyDescent="0.3">
      <c r="A50" s="2" t="s">
        <v>1170</v>
      </c>
      <c r="B50" s="2">
        <v>57.5</v>
      </c>
      <c r="C50" s="2">
        <v>4.2699999999999996</v>
      </c>
      <c r="D50" s="2">
        <v>245.5</v>
      </c>
      <c r="E50" s="6">
        <f t="shared" si="3"/>
        <v>53</v>
      </c>
      <c r="F50" s="6">
        <f t="shared" si="4"/>
        <v>34</v>
      </c>
      <c r="G50" s="2">
        <f t="shared" si="5"/>
        <v>47.3</v>
      </c>
      <c r="H50" s="7">
        <v>49</v>
      </c>
    </row>
    <row r="51" spans="1:8" ht="12.45" customHeight="1" x14ac:dyDescent="0.3">
      <c r="A51" s="2" t="s">
        <v>1168</v>
      </c>
      <c r="B51" s="2">
        <v>53.5</v>
      </c>
      <c r="C51" s="2">
        <v>4.3099999999999996</v>
      </c>
      <c r="D51" s="2">
        <v>230.75</v>
      </c>
      <c r="E51" s="6">
        <f t="shared" si="3"/>
        <v>45</v>
      </c>
      <c r="F51" s="6">
        <f t="shared" si="4"/>
        <v>55</v>
      </c>
      <c r="G51" s="2">
        <f t="shared" si="5"/>
        <v>48</v>
      </c>
      <c r="H51" s="7">
        <v>50</v>
      </c>
    </row>
    <row r="52" spans="1:8" ht="12.45" customHeight="1" x14ac:dyDescent="0.3">
      <c r="A52" s="2" t="s">
        <v>1172</v>
      </c>
      <c r="B52" s="2">
        <v>59.5</v>
      </c>
      <c r="C52" s="2">
        <v>4.2300000000000004</v>
      </c>
      <c r="D52" s="2">
        <v>251.95</v>
      </c>
      <c r="E52" s="6">
        <f t="shared" si="3"/>
        <v>57</v>
      </c>
      <c r="F52" s="6">
        <f t="shared" si="4"/>
        <v>28</v>
      </c>
      <c r="G52" s="2">
        <f t="shared" si="5"/>
        <v>48.3</v>
      </c>
      <c r="H52" s="7">
        <v>51</v>
      </c>
    </row>
    <row r="53" spans="1:8" ht="12.45" customHeight="1" x14ac:dyDescent="0.3">
      <c r="A53" s="2" t="s">
        <v>1178</v>
      </c>
      <c r="B53" s="2">
        <v>54.5</v>
      </c>
      <c r="C53" s="2">
        <v>4.28</v>
      </c>
      <c r="D53" s="2">
        <v>233.2</v>
      </c>
      <c r="E53" s="6">
        <f t="shared" si="3"/>
        <v>48</v>
      </c>
      <c r="F53" s="6">
        <f t="shared" si="4"/>
        <v>51</v>
      </c>
      <c r="G53" s="2">
        <f t="shared" si="5"/>
        <v>48.899999999999991</v>
      </c>
      <c r="H53" s="7">
        <v>52</v>
      </c>
    </row>
    <row r="54" spans="1:8" ht="12.45" customHeight="1" x14ac:dyDescent="0.3">
      <c r="A54" s="2" t="s">
        <v>1171</v>
      </c>
      <c r="B54" s="2">
        <v>52</v>
      </c>
      <c r="C54" s="2">
        <v>4.3499999999999996</v>
      </c>
      <c r="D54" s="2">
        <v>226.1</v>
      </c>
      <c r="E54" s="6">
        <f t="shared" si="3"/>
        <v>40</v>
      </c>
      <c r="F54" s="6">
        <f t="shared" si="4"/>
        <v>70</v>
      </c>
      <c r="G54" s="2">
        <f t="shared" si="5"/>
        <v>49</v>
      </c>
      <c r="H54" s="7">
        <v>53</v>
      </c>
    </row>
    <row r="55" spans="1:8" ht="12.45" customHeight="1" x14ac:dyDescent="0.3">
      <c r="A55" s="2" t="s">
        <v>1179</v>
      </c>
      <c r="B55" s="2">
        <v>60.5</v>
      </c>
      <c r="C55" s="2">
        <v>4.2</v>
      </c>
      <c r="D55" s="2">
        <v>254.3</v>
      </c>
      <c r="E55" s="6">
        <f t="shared" si="3"/>
        <v>64</v>
      </c>
      <c r="F55" s="6">
        <f t="shared" si="4"/>
        <v>22</v>
      </c>
      <c r="G55" s="2">
        <f t="shared" si="5"/>
        <v>51.4</v>
      </c>
      <c r="H55" s="7">
        <v>54</v>
      </c>
    </row>
    <row r="56" spans="1:8" ht="12.45" customHeight="1" x14ac:dyDescent="0.3">
      <c r="A56" s="2" t="s">
        <v>1175</v>
      </c>
      <c r="B56" s="2">
        <v>58.5</v>
      </c>
      <c r="C56" s="2">
        <v>4.22</v>
      </c>
      <c r="D56" s="2">
        <v>246.9</v>
      </c>
      <c r="E56" s="6">
        <f t="shared" si="3"/>
        <v>60</v>
      </c>
      <c r="F56" s="6">
        <f t="shared" si="4"/>
        <v>33</v>
      </c>
      <c r="G56" s="2">
        <f t="shared" si="5"/>
        <v>51.9</v>
      </c>
      <c r="H56" s="7">
        <v>55</v>
      </c>
    </row>
    <row r="57" spans="1:8" ht="12.45" customHeight="1" x14ac:dyDescent="0.3">
      <c r="A57" s="2" t="s">
        <v>1177</v>
      </c>
      <c r="B57" s="2">
        <v>56</v>
      </c>
      <c r="C57" s="2">
        <v>4.24</v>
      </c>
      <c r="D57" s="2">
        <v>237.65</v>
      </c>
      <c r="E57" s="6">
        <f t="shared" si="3"/>
        <v>56</v>
      </c>
      <c r="F57" s="6">
        <f t="shared" si="4"/>
        <v>45</v>
      </c>
      <c r="G57" s="2">
        <f t="shared" si="5"/>
        <v>52.699999999999996</v>
      </c>
      <c r="H57" s="7">
        <v>56</v>
      </c>
    </row>
    <row r="58" spans="1:8" ht="12.45" customHeight="1" x14ac:dyDescent="0.3">
      <c r="A58" s="2" t="s">
        <v>1181</v>
      </c>
      <c r="B58" s="2">
        <v>57.5</v>
      </c>
      <c r="C58" s="2">
        <v>4.21</v>
      </c>
      <c r="D58" s="2">
        <v>241.95</v>
      </c>
      <c r="E58" s="6">
        <f t="shared" si="3"/>
        <v>62</v>
      </c>
      <c r="F58" s="6">
        <f t="shared" si="4"/>
        <v>41</v>
      </c>
      <c r="G58" s="2">
        <f t="shared" si="5"/>
        <v>55.699999999999996</v>
      </c>
      <c r="H58" s="7">
        <v>57</v>
      </c>
    </row>
    <row r="59" spans="1:8" ht="12.45" customHeight="1" x14ac:dyDescent="0.3">
      <c r="A59" s="2" t="s">
        <v>1180</v>
      </c>
      <c r="B59" s="2">
        <v>52.5</v>
      </c>
      <c r="C59" s="2">
        <v>4.26</v>
      </c>
      <c r="D59" s="2">
        <v>223.6</v>
      </c>
      <c r="E59" s="6">
        <f t="shared" si="3"/>
        <v>54</v>
      </c>
      <c r="F59" s="6">
        <f t="shared" si="4"/>
        <v>73</v>
      </c>
      <c r="G59" s="2">
        <f t="shared" si="5"/>
        <v>59.699999999999996</v>
      </c>
      <c r="H59" s="7">
        <v>58</v>
      </c>
    </row>
    <row r="60" spans="1:8" ht="12.45" customHeight="1" x14ac:dyDescent="0.3">
      <c r="A60" s="2" t="s">
        <v>1186</v>
      </c>
      <c r="B60" s="2">
        <v>59</v>
      </c>
      <c r="C60" s="2">
        <v>4.1399999999999997</v>
      </c>
      <c r="D60" s="2">
        <v>244.35</v>
      </c>
      <c r="E60" s="6">
        <f t="shared" si="3"/>
        <v>71</v>
      </c>
      <c r="F60" s="6">
        <f t="shared" si="4"/>
        <v>36</v>
      </c>
      <c r="G60" s="2">
        <f t="shared" si="5"/>
        <v>60.499999999999993</v>
      </c>
      <c r="H60" s="7">
        <v>59</v>
      </c>
    </row>
    <row r="61" spans="1:8" ht="12.45" customHeight="1" x14ac:dyDescent="0.3">
      <c r="A61" s="2" t="s">
        <v>1182</v>
      </c>
      <c r="B61" s="2">
        <v>50.5</v>
      </c>
      <c r="C61" s="2">
        <v>4.28</v>
      </c>
      <c r="D61" s="2">
        <v>215.95</v>
      </c>
      <c r="E61" s="6">
        <f t="shared" si="3"/>
        <v>48</v>
      </c>
      <c r="F61" s="6">
        <f t="shared" si="4"/>
        <v>90</v>
      </c>
      <c r="G61" s="2">
        <f t="shared" si="5"/>
        <v>60.599999999999994</v>
      </c>
      <c r="H61" s="7">
        <v>60</v>
      </c>
    </row>
    <row r="62" spans="1:8" ht="12.45" customHeight="1" x14ac:dyDescent="0.3">
      <c r="A62" s="2" t="s">
        <v>1190</v>
      </c>
      <c r="B62" s="2">
        <v>54</v>
      </c>
      <c r="C62" s="2">
        <v>4.21</v>
      </c>
      <c r="D62" s="2">
        <v>227.25</v>
      </c>
      <c r="E62" s="6">
        <f t="shared" si="3"/>
        <v>62</v>
      </c>
      <c r="F62" s="6">
        <f t="shared" si="4"/>
        <v>62</v>
      </c>
      <c r="G62" s="2">
        <f t="shared" si="5"/>
        <v>62</v>
      </c>
      <c r="H62" s="7">
        <v>61</v>
      </c>
    </row>
    <row r="63" spans="1:8" ht="12.45" customHeight="1" x14ac:dyDescent="0.3">
      <c r="A63" s="2" t="s">
        <v>1185</v>
      </c>
      <c r="B63" s="2">
        <v>55.5</v>
      </c>
      <c r="C63" s="2">
        <v>4.16</v>
      </c>
      <c r="D63" s="2">
        <v>230.65</v>
      </c>
      <c r="E63" s="6">
        <f t="shared" si="3"/>
        <v>68</v>
      </c>
      <c r="F63" s="6">
        <f t="shared" si="4"/>
        <v>56</v>
      </c>
      <c r="G63" s="2">
        <f t="shared" si="5"/>
        <v>64.399999999999991</v>
      </c>
      <c r="H63" s="7">
        <v>62</v>
      </c>
    </row>
    <row r="64" spans="1:8" ht="12.45" customHeight="1" x14ac:dyDescent="0.3">
      <c r="A64" s="2" t="s">
        <v>1183</v>
      </c>
      <c r="B64" s="2">
        <v>51.5</v>
      </c>
      <c r="C64" s="2">
        <v>4.25</v>
      </c>
      <c r="D64" s="2">
        <v>218.75</v>
      </c>
      <c r="E64" s="6">
        <f t="shared" si="3"/>
        <v>55</v>
      </c>
      <c r="F64" s="6">
        <f t="shared" si="4"/>
        <v>87</v>
      </c>
      <c r="G64" s="2">
        <f t="shared" si="5"/>
        <v>64.599999999999994</v>
      </c>
      <c r="H64" s="7">
        <v>63</v>
      </c>
    </row>
    <row r="65" spans="1:8" ht="12.45" customHeight="1" x14ac:dyDescent="0.3">
      <c r="A65" s="2" t="s">
        <v>1187</v>
      </c>
      <c r="B65" s="2">
        <v>52.5</v>
      </c>
      <c r="C65" s="2">
        <v>4.22</v>
      </c>
      <c r="D65" s="2">
        <v>221.55</v>
      </c>
      <c r="E65" s="6">
        <f t="shared" si="3"/>
        <v>60</v>
      </c>
      <c r="F65" s="6">
        <f t="shared" si="4"/>
        <v>76</v>
      </c>
      <c r="G65" s="2">
        <f t="shared" si="5"/>
        <v>64.8</v>
      </c>
      <c r="H65" s="7">
        <v>64</v>
      </c>
    </row>
    <row r="66" spans="1:8" ht="12.45" customHeight="1" x14ac:dyDescent="0.3">
      <c r="A66" s="2" t="s">
        <v>1184</v>
      </c>
      <c r="B66" s="2">
        <v>54</v>
      </c>
      <c r="C66" s="2">
        <v>4.1900000000000004</v>
      </c>
      <c r="D66" s="2">
        <v>226.35</v>
      </c>
      <c r="E66" s="6">
        <f t="shared" ref="E66:E97" si="6">_xlfn.RANK.EQ(C66,C:C,0)</f>
        <v>65</v>
      </c>
      <c r="F66" s="6">
        <f t="shared" ref="F66:F97" si="7">_xlfn.RANK.EQ(D66,D:D,0)</f>
        <v>67</v>
      </c>
      <c r="G66" s="2">
        <f t="shared" ref="G66:G97" si="8">E66*0.7+F66*0.3</f>
        <v>65.599999999999994</v>
      </c>
      <c r="H66" s="7">
        <v>65</v>
      </c>
    </row>
    <row r="67" spans="1:8" ht="12.45" customHeight="1" x14ac:dyDescent="0.3">
      <c r="A67" s="2" t="s">
        <v>1188</v>
      </c>
      <c r="B67" s="2">
        <v>56.5</v>
      </c>
      <c r="C67" s="2">
        <v>4.13</v>
      </c>
      <c r="D67" s="2">
        <v>233.15</v>
      </c>
      <c r="E67" s="6">
        <f t="shared" si="6"/>
        <v>72</v>
      </c>
      <c r="F67" s="6">
        <f t="shared" si="7"/>
        <v>52</v>
      </c>
      <c r="G67" s="2">
        <f t="shared" si="8"/>
        <v>66</v>
      </c>
      <c r="H67" s="7">
        <v>66</v>
      </c>
    </row>
    <row r="68" spans="1:8" ht="12.45" customHeight="1" x14ac:dyDescent="0.3">
      <c r="A68" s="2" t="s">
        <v>1189</v>
      </c>
      <c r="B68" s="2">
        <v>57.5</v>
      </c>
      <c r="C68" s="2">
        <v>4.0999999999999996</v>
      </c>
      <c r="D68" s="2">
        <v>236</v>
      </c>
      <c r="E68" s="6">
        <f t="shared" si="6"/>
        <v>75</v>
      </c>
      <c r="F68" s="6">
        <f t="shared" si="7"/>
        <v>47</v>
      </c>
      <c r="G68" s="2">
        <f t="shared" si="8"/>
        <v>66.599999999999994</v>
      </c>
      <c r="H68" s="7">
        <v>67</v>
      </c>
    </row>
    <row r="69" spans="1:8" ht="12.45" customHeight="1" x14ac:dyDescent="0.3">
      <c r="A69" s="2" t="s">
        <v>1194</v>
      </c>
      <c r="B69" s="2">
        <v>50</v>
      </c>
      <c r="C69" s="2">
        <v>4.2300000000000004</v>
      </c>
      <c r="D69" s="2">
        <v>211.55</v>
      </c>
      <c r="E69" s="6">
        <f t="shared" si="6"/>
        <v>57</v>
      </c>
      <c r="F69" s="6">
        <f t="shared" si="7"/>
        <v>98</v>
      </c>
      <c r="G69" s="2">
        <f t="shared" si="8"/>
        <v>69.3</v>
      </c>
      <c r="H69" s="7">
        <v>68</v>
      </c>
    </row>
    <row r="70" spans="1:8" ht="12.45" customHeight="1" x14ac:dyDescent="0.3">
      <c r="A70" s="2" t="s">
        <v>1192</v>
      </c>
      <c r="B70" s="2">
        <v>50</v>
      </c>
      <c r="C70" s="2">
        <v>4.2300000000000004</v>
      </c>
      <c r="D70" s="2">
        <v>211.35</v>
      </c>
      <c r="E70" s="6">
        <f t="shared" si="6"/>
        <v>57</v>
      </c>
      <c r="F70" s="6">
        <f t="shared" si="7"/>
        <v>99</v>
      </c>
      <c r="G70" s="2">
        <f t="shared" si="8"/>
        <v>69.599999999999994</v>
      </c>
      <c r="H70" s="7">
        <v>69</v>
      </c>
    </row>
    <row r="71" spans="1:8" ht="12.45" customHeight="1" x14ac:dyDescent="0.3">
      <c r="A71" s="2" t="s">
        <v>1199</v>
      </c>
      <c r="B71" s="2">
        <v>56.5</v>
      </c>
      <c r="C71" s="2">
        <v>4.09</v>
      </c>
      <c r="D71" s="2">
        <v>231.05</v>
      </c>
      <c r="E71" s="6">
        <f t="shared" si="6"/>
        <v>77</v>
      </c>
      <c r="F71" s="6">
        <f t="shared" si="7"/>
        <v>54</v>
      </c>
      <c r="G71" s="2">
        <f t="shared" si="8"/>
        <v>70.099999999999994</v>
      </c>
      <c r="H71" s="7">
        <v>70</v>
      </c>
    </row>
    <row r="72" spans="1:8" ht="12.45" customHeight="1" x14ac:dyDescent="0.3">
      <c r="A72" s="2" t="s">
        <v>1191</v>
      </c>
      <c r="B72" s="2">
        <v>52.5</v>
      </c>
      <c r="C72" s="2">
        <v>4.1900000000000004</v>
      </c>
      <c r="D72" s="2">
        <v>220.1</v>
      </c>
      <c r="E72" s="6">
        <f t="shared" si="6"/>
        <v>65</v>
      </c>
      <c r="F72" s="6">
        <f t="shared" si="7"/>
        <v>83</v>
      </c>
      <c r="G72" s="2">
        <f t="shared" si="8"/>
        <v>70.400000000000006</v>
      </c>
      <c r="H72" s="7">
        <v>71</v>
      </c>
    </row>
    <row r="73" spans="1:8" ht="12.45" customHeight="1" x14ac:dyDescent="0.3">
      <c r="A73" s="2" t="s">
        <v>1198</v>
      </c>
      <c r="B73" s="2">
        <v>53</v>
      </c>
      <c r="C73" s="2">
        <v>4.17</v>
      </c>
      <c r="D73" s="2">
        <v>221</v>
      </c>
      <c r="E73" s="6">
        <f t="shared" si="6"/>
        <v>67</v>
      </c>
      <c r="F73" s="6">
        <f t="shared" si="7"/>
        <v>80</v>
      </c>
      <c r="G73" s="2">
        <f t="shared" si="8"/>
        <v>70.900000000000006</v>
      </c>
      <c r="H73" s="7">
        <v>72</v>
      </c>
    </row>
    <row r="74" spans="1:8" ht="12.45" customHeight="1" x14ac:dyDescent="0.3">
      <c r="A74" s="2" t="s">
        <v>1193</v>
      </c>
      <c r="B74" s="2">
        <v>53.5</v>
      </c>
      <c r="C74" s="2">
        <v>4.1500000000000004</v>
      </c>
      <c r="D74" s="2">
        <v>222.15</v>
      </c>
      <c r="E74" s="6">
        <f t="shared" si="6"/>
        <v>70</v>
      </c>
      <c r="F74" s="6">
        <f t="shared" si="7"/>
        <v>74</v>
      </c>
      <c r="G74" s="2">
        <f t="shared" si="8"/>
        <v>71.2</v>
      </c>
      <c r="H74" s="7">
        <v>73</v>
      </c>
    </row>
    <row r="75" spans="1:8" ht="12.45" customHeight="1" x14ac:dyDescent="0.3">
      <c r="A75" s="2" t="s">
        <v>1195</v>
      </c>
      <c r="B75" s="2">
        <v>55.5</v>
      </c>
      <c r="C75" s="2">
        <v>4.09</v>
      </c>
      <c r="D75" s="2">
        <v>227.25</v>
      </c>
      <c r="E75" s="6">
        <f t="shared" si="6"/>
        <v>77</v>
      </c>
      <c r="F75" s="6">
        <f t="shared" si="7"/>
        <v>62</v>
      </c>
      <c r="G75" s="2">
        <f t="shared" si="8"/>
        <v>72.5</v>
      </c>
      <c r="H75" s="7">
        <v>74</v>
      </c>
    </row>
    <row r="76" spans="1:8" ht="12.45" customHeight="1" x14ac:dyDescent="0.3">
      <c r="A76" s="2" t="s">
        <v>1207</v>
      </c>
      <c r="B76" s="2">
        <v>55.5</v>
      </c>
      <c r="C76" s="2">
        <v>4.09</v>
      </c>
      <c r="D76" s="2">
        <v>226.8</v>
      </c>
      <c r="E76" s="6">
        <f t="shared" si="6"/>
        <v>77</v>
      </c>
      <c r="F76" s="6">
        <f t="shared" si="7"/>
        <v>64</v>
      </c>
      <c r="G76" s="2">
        <f t="shared" si="8"/>
        <v>73.099999999999994</v>
      </c>
      <c r="H76" s="7">
        <v>75</v>
      </c>
    </row>
    <row r="77" spans="1:8" ht="12.45" customHeight="1" x14ac:dyDescent="0.3">
      <c r="A77" s="2" t="s">
        <v>1202</v>
      </c>
      <c r="B77" s="2">
        <v>53.5</v>
      </c>
      <c r="C77" s="2">
        <v>4.13</v>
      </c>
      <c r="D77" s="2">
        <v>221.05</v>
      </c>
      <c r="E77" s="6">
        <f t="shared" si="6"/>
        <v>72</v>
      </c>
      <c r="F77" s="6">
        <f t="shared" si="7"/>
        <v>79</v>
      </c>
      <c r="G77" s="2">
        <f t="shared" si="8"/>
        <v>74.099999999999994</v>
      </c>
      <c r="H77" s="7">
        <v>76</v>
      </c>
    </row>
    <row r="78" spans="1:8" ht="12.45" customHeight="1" x14ac:dyDescent="0.3">
      <c r="A78" s="2" t="s">
        <v>1196</v>
      </c>
      <c r="B78" s="2">
        <v>56</v>
      </c>
      <c r="C78" s="2">
        <v>4.08</v>
      </c>
      <c r="D78" s="2">
        <v>228.55</v>
      </c>
      <c r="E78" s="6">
        <f t="shared" si="6"/>
        <v>82</v>
      </c>
      <c r="F78" s="6">
        <f t="shared" si="7"/>
        <v>57</v>
      </c>
      <c r="G78" s="2">
        <f t="shared" si="8"/>
        <v>74.5</v>
      </c>
      <c r="H78" s="7">
        <v>77</v>
      </c>
    </row>
    <row r="79" spans="1:8" ht="12.45" customHeight="1" x14ac:dyDescent="0.3">
      <c r="A79" s="2" t="s">
        <v>1197</v>
      </c>
      <c r="B79" s="2">
        <v>56</v>
      </c>
      <c r="C79" s="2">
        <v>4.08</v>
      </c>
      <c r="D79" s="2">
        <v>228.55</v>
      </c>
      <c r="E79" s="6">
        <f t="shared" si="6"/>
        <v>82</v>
      </c>
      <c r="F79" s="6">
        <f t="shared" si="7"/>
        <v>57</v>
      </c>
      <c r="G79" s="2">
        <f t="shared" si="8"/>
        <v>74.5</v>
      </c>
      <c r="H79" s="7">
        <v>77</v>
      </c>
    </row>
    <row r="80" spans="1:8" ht="12.45" customHeight="1" x14ac:dyDescent="0.3">
      <c r="A80" s="2" t="s">
        <v>1205</v>
      </c>
      <c r="B80" s="2">
        <v>58</v>
      </c>
      <c r="C80" s="2">
        <v>4.0599999999999996</v>
      </c>
      <c r="D80" s="2">
        <v>235.35</v>
      </c>
      <c r="E80" s="6">
        <f t="shared" si="6"/>
        <v>88</v>
      </c>
      <c r="F80" s="6">
        <f t="shared" si="7"/>
        <v>49</v>
      </c>
      <c r="G80" s="2">
        <f t="shared" si="8"/>
        <v>76.3</v>
      </c>
      <c r="H80" s="7">
        <v>79</v>
      </c>
    </row>
    <row r="81" spans="1:8" ht="12.45" customHeight="1" x14ac:dyDescent="0.3">
      <c r="A81" s="2" t="s">
        <v>1201</v>
      </c>
      <c r="B81" s="2">
        <v>48.5</v>
      </c>
      <c r="C81" s="2">
        <v>4.16</v>
      </c>
      <c r="D81" s="2">
        <v>202</v>
      </c>
      <c r="E81" s="6">
        <f t="shared" si="6"/>
        <v>68</v>
      </c>
      <c r="F81" s="6">
        <f t="shared" si="7"/>
        <v>109</v>
      </c>
      <c r="G81" s="2">
        <f t="shared" si="8"/>
        <v>80.299999999999983</v>
      </c>
      <c r="H81" s="7">
        <v>80</v>
      </c>
    </row>
    <row r="82" spans="1:8" ht="12.45" customHeight="1" x14ac:dyDescent="0.3">
      <c r="A82" s="2" t="s">
        <v>1200</v>
      </c>
      <c r="B82" s="2">
        <v>55</v>
      </c>
      <c r="C82" s="2">
        <v>4.07</v>
      </c>
      <c r="D82" s="2">
        <v>224.05</v>
      </c>
      <c r="E82" s="6">
        <f t="shared" si="6"/>
        <v>85</v>
      </c>
      <c r="F82" s="6">
        <f t="shared" si="7"/>
        <v>71</v>
      </c>
      <c r="G82" s="2">
        <f t="shared" si="8"/>
        <v>80.8</v>
      </c>
      <c r="H82" s="7">
        <v>81</v>
      </c>
    </row>
    <row r="83" spans="1:8" ht="12.45" customHeight="1" x14ac:dyDescent="0.3">
      <c r="A83" s="2" t="s">
        <v>1204</v>
      </c>
      <c r="B83" s="2">
        <v>59</v>
      </c>
      <c r="C83" s="2">
        <v>4.01</v>
      </c>
      <c r="D83" s="2">
        <v>235.6</v>
      </c>
      <c r="E83" s="6">
        <f t="shared" si="6"/>
        <v>95</v>
      </c>
      <c r="F83" s="6">
        <f t="shared" si="7"/>
        <v>48</v>
      </c>
      <c r="G83" s="2">
        <f t="shared" si="8"/>
        <v>80.900000000000006</v>
      </c>
      <c r="H83" s="7">
        <v>82</v>
      </c>
    </row>
    <row r="84" spans="1:8" ht="12.45" customHeight="1" x14ac:dyDescent="0.3">
      <c r="A84" s="2" t="s">
        <v>1203</v>
      </c>
      <c r="B84" s="2">
        <v>54.5</v>
      </c>
      <c r="C84" s="2">
        <v>4.07</v>
      </c>
      <c r="D84" s="2">
        <v>221.55</v>
      </c>
      <c r="E84" s="6">
        <f t="shared" si="6"/>
        <v>85</v>
      </c>
      <c r="F84" s="6">
        <f t="shared" si="7"/>
        <v>76</v>
      </c>
      <c r="G84" s="2">
        <f t="shared" si="8"/>
        <v>82.3</v>
      </c>
      <c r="H84" s="7">
        <v>83</v>
      </c>
    </row>
    <row r="85" spans="1:8" ht="12.45" customHeight="1" x14ac:dyDescent="0.3">
      <c r="A85" s="2" t="s">
        <v>1206</v>
      </c>
      <c r="B85" s="2">
        <v>52.5</v>
      </c>
      <c r="C85" s="2">
        <v>4.09</v>
      </c>
      <c r="D85" s="2">
        <v>214.55</v>
      </c>
      <c r="E85" s="6">
        <f t="shared" si="6"/>
        <v>77</v>
      </c>
      <c r="F85" s="6">
        <f t="shared" si="7"/>
        <v>95</v>
      </c>
      <c r="G85" s="2">
        <f t="shared" si="8"/>
        <v>82.4</v>
      </c>
      <c r="H85" s="7">
        <v>84</v>
      </c>
    </row>
    <row r="86" spans="1:8" ht="12.45" customHeight="1" x14ac:dyDescent="0.3">
      <c r="A86" s="2" t="s">
        <v>1213</v>
      </c>
      <c r="B86" s="2">
        <v>56</v>
      </c>
      <c r="C86" s="2">
        <v>4.05</v>
      </c>
      <c r="D86" s="2">
        <v>226.55</v>
      </c>
      <c r="E86" s="6">
        <f t="shared" si="6"/>
        <v>90</v>
      </c>
      <c r="F86" s="6">
        <f t="shared" si="7"/>
        <v>66</v>
      </c>
      <c r="G86" s="2">
        <f t="shared" si="8"/>
        <v>82.8</v>
      </c>
      <c r="H86" s="7">
        <v>85</v>
      </c>
    </row>
    <row r="87" spans="1:8" ht="12.45" customHeight="1" x14ac:dyDescent="0.3">
      <c r="A87" s="2" t="s">
        <v>1214</v>
      </c>
      <c r="B87" s="2">
        <v>49</v>
      </c>
      <c r="C87" s="2">
        <v>4.13</v>
      </c>
      <c r="D87" s="2">
        <v>202.4</v>
      </c>
      <c r="E87" s="6">
        <f t="shared" si="6"/>
        <v>72</v>
      </c>
      <c r="F87" s="6">
        <f t="shared" si="7"/>
        <v>108</v>
      </c>
      <c r="G87" s="2">
        <f t="shared" si="8"/>
        <v>82.8</v>
      </c>
      <c r="H87" s="7">
        <v>85</v>
      </c>
    </row>
    <row r="88" spans="1:8" ht="12.45" customHeight="1" x14ac:dyDescent="0.3">
      <c r="A88" s="2" t="s">
        <v>1211</v>
      </c>
      <c r="B88" s="2">
        <v>59.5</v>
      </c>
      <c r="C88" s="2">
        <v>3.97</v>
      </c>
      <c r="D88" s="2">
        <v>236.3</v>
      </c>
      <c r="E88" s="6">
        <f t="shared" si="6"/>
        <v>99</v>
      </c>
      <c r="F88" s="6">
        <f t="shared" si="7"/>
        <v>46</v>
      </c>
      <c r="G88" s="2">
        <f t="shared" si="8"/>
        <v>83.1</v>
      </c>
      <c r="H88" s="7">
        <v>87</v>
      </c>
    </row>
    <row r="89" spans="1:8" ht="12.45" customHeight="1" x14ac:dyDescent="0.3">
      <c r="A89" s="2" t="s">
        <v>1209</v>
      </c>
      <c r="B89" s="2">
        <v>49.5</v>
      </c>
      <c r="C89" s="2">
        <v>4.0999999999999996</v>
      </c>
      <c r="D89" s="2">
        <v>203.1</v>
      </c>
      <c r="E89" s="6">
        <f t="shared" si="6"/>
        <v>75</v>
      </c>
      <c r="F89" s="6">
        <f t="shared" si="7"/>
        <v>107</v>
      </c>
      <c r="G89" s="2">
        <f t="shared" si="8"/>
        <v>84.6</v>
      </c>
      <c r="H89" s="7">
        <v>88</v>
      </c>
    </row>
    <row r="90" spans="1:8" ht="12.45" customHeight="1" x14ac:dyDescent="0.3">
      <c r="A90" s="2" t="s">
        <v>1216</v>
      </c>
      <c r="B90" s="2">
        <v>55.5</v>
      </c>
      <c r="C90" s="2">
        <v>4.05</v>
      </c>
      <c r="D90" s="2">
        <v>223.85</v>
      </c>
      <c r="E90" s="6">
        <f t="shared" si="6"/>
        <v>90</v>
      </c>
      <c r="F90" s="6">
        <f t="shared" si="7"/>
        <v>72</v>
      </c>
      <c r="G90" s="2">
        <f t="shared" si="8"/>
        <v>84.6</v>
      </c>
      <c r="H90" s="7">
        <v>88</v>
      </c>
    </row>
    <row r="91" spans="1:8" ht="12.45" customHeight="1" x14ac:dyDescent="0.3">
      <c r="A91" s="2" t="s">
        <v>1208</v>
      </c>
      <c r="B91" s="2">
        <v>54.5</v>
      </c>
      <c r="C91" s="2">
        <v>4.0599999999999996</v>
      </c>
      <c r="D91" s="2">
        <v>221.1</v>
      </c>
      <c r="E91" s="6">
        <f t="shared" si="6"/>
        <v>88</v>
      </c>
      <c r="F91" s="6">
        <f t="shared" si="7"/>
        <v>78</v>
      </c>
      <c r="G91" s="2">
        <f t="shared" si="8"/>
        <v>85</v>
      </c>
      <c r="H91" s="7">
        <v>90</v>
      </c>
    </row>
    <row r="92" spans="1:8" ht="12.45" customHeight="1" x14ac:dyDescent="0.3">
      <c r="A92" s="2" t="s">
        <v>1210</v>
      </c>
      <c r="B92" s="2">
        <v>57</v>
      </c>
      <c r="C92" s="2">
        <v>3.99</v>
      </c>
      <c r="D92" s="2">
        <v>227.4</v>
      </c>
      <c r="E92" s="6">
        <f t="shared" si="6"/>
        <v>96</v>
      </c>
      <c r="F92" s="6">
        <f t="shared" si="7"/>
        <v>60</v>
      </c>
      <c r="G92" s="2">
        <f t="shared" si="8"/>
        <v>85.199999999999989</v>
      </c>
      <c r="H92" s="7">
        <v>91</v>
      </c>
    </row>
    <row r="93" spans="1:8" ht="12.45" customHeight="1" x14ac:dyDescent="0.3">
      <c r="A93" s="2" t="s">
        <v>1212</v>
      </c>
      <c r="B93" s="2">
        <v>49</v>
      </c>
      <c r="C93" s="2">
        <v>4.09</v>
      </c>
      <c r="D93" s="2">
        <v>199.35</v>
      </c>
      <c r="E93" s="6">
        <f t="shared" si="6"/>
        <v>77</v>
      </c>
      <c r="F93" s="6">
        <f t="shared" si="7"/>
        <v>118</v>
      </c>
      <c r="G93" s="2">
        <f t="shared" si="8"/>
        <v>89.3</v>
      </c>
      <c r="H93" s="7">
        <v>92</v>
      </c>
    </row>
    <row r="94" spans="1:8" ht="12.45" customHeight="1" x14ac:dyDescent="0.3">
      <c r="A94" s="2" t="s">
        <v>1221</v>
      </c>
      <c r="B94" s="2">
        <v>49</v>
      </c>
      <c r="C94" s="2">
        <v>4.08</v>
      </c>
      <c r="D94" s="2">
        <v>199.9</v>
      </c>
      <c r="E94" s="6">
        <f t="shared" si="6"/>
        <v>82</v>
      </c>
      <c r="F94" s="6">
        <f t="shared" si="7"/>
        <v>114</v>
      </c>
      <c r="G94" s="2">
        <f t="shared" si="8"/>
        <v>91.6</v>
      </c>
      <c r="H94" s="7">
        <v>93</v>
      </c>
    </row>
    <row r="95" spans="1:8" ht="12.45" customHeight="1" x14ac:dyDescent="0.3">
      <c r="A95" s="2" t="s">
        <v>1218</v>
      </c>
      <c r="B95" s="2">
        <v>53.5</v>
      </c>
      <c r="C95" s="2">
        <v>4.0199999999999996</v>
      </c>
      <c r="D95" s="2">
        <v>215</v>
      </c>
      <c r="E95" s="6">
        <f t="shared" si="6"/>
        <v>93</v>
      </c>
      <c r="F95" s="6">
        <f t="shared" si="7"/>
        <v>92</v>
      </c>
      <c r="G95" s="2">
        <f t="shared" si="8"/>
        <v>92.699999999999989</v>
      </c>
      <c r="H95" s="7">
        <v>94</v>
      </c>
    </row>
    <row r="96" spans="1:8" ht="12.45" customHeight="1" x14ac:dyDescent="0.3">
      <c r="A96" s="2" t="s">
        <v>1219</v>
      </c>
      <c r="B96" s="2">
        <v>55</v>
      </c>
      <c r="C96" s="2">
        <v>3.99</v>
      </c>
      <c r="D96" s="2">
        <v>219.6</v>
      </c>
      <c r="E96" s="6">
        <f t="shared" si="6"/>
        <v>96</v>
      </c>
      <c r="F96" s="6">
        <f t="shared" si="7"/>
        <v>85</v>
      </c>
      <c r="G96" s="2">
        <f t="shared" si="8"/>
        <v>92.699999999999989</v>
      </c>
      <c r="H96" s="7">
        <v>94</v>
      </c>
    </row>
    <row r="97" spans="1:8" ht="12.45" customHeight="1" x14ac:dyDescent="0.3">
      <c r="A97" s="2" t="s">
        <v>1215</v>
      </c>
      <c r="B97" s="2">
        <v>53.5</v>
      </c>
      <c r="C97" s="2">
        <v>4.0199999999999996</v>
      </c>
      <c r="D97" s="2">
        <v>214.9</v>
      </c>
      <c r="E97" s="6">
        <f t="shared" si="6"/>
        <v>93</v>
      </c>
      <c r="F97" s="6">
        <f t="shared" si="7"/>
        <v>93</v>
      </c>
      <c r="G97" s="2">
        <f t="shared" si="8"/>
        <v>93</v>
      </c>
      <c r="H97" s="7">
        <v>96</v>
      </c>
    </row>
    <row r="98" spans="1:8" ht="12.45" customHeight="1" x14ac:dyDescent="0.3">
      <c r="A98" s="2" t="s">
        <v>1217</v>
      </c>
      <c r="B98" s="2">
        <v>54</v>
      </c>
      <c r="C98" s="2">
        <v>3.98</v>
      </c>
      <c r="D98" s="2">
        <v>214.7</v>
      </c>
      <c r="E98" s="6">
        <f t="shared" ref="E98:E129" si="9">_xlfn.RANK.EQ(C98,C:C,0)</f>
        <v>98</v>
      </c>
      <c r="F98" s="6">
        <f t="shared" ref="F98:F129" si="10">_xlfn.RANK.EQ(D98,D:D,0)</f>
        <v>94</v>
      </c>
      <c r="G98" s="2">
        <f t="shared" ref="G98:G129" si="11">E98*0.7+F98*0.3</f>
        <v>96.8</v>
      </c>
      <c r="H98" s="7">
        <v>97</v>
      </c>
    </row>
    <row r="99" spans="1:8" ht="12.45" customHeight="1" x14ac:dyDescent="0.3">
      <c r="A99" s="2" t="s">
        <v>1226</v>
      </c>
      <c r="B99" s="2">
        <v>57</v>
      </c>
      <c r="C99" s="2">
        <v>3.87</v>
      </c>
      <c r="D99" s="2">
        <v>220.85</v>
      </c>
      <c r="E99" s="6">
        <f t="shared" si="9"/>
        <v>106</v>
      </c>
      <c r="F99" s="6">
        <f t="shared" si="10"/>
        <v>81</v>
      </c>
      <c r="G99" s="2">
        <f t="shared" si="11"/>
        <v>98.499999999999986</v>
      </c>
      <c r="H99" s="7">
        <v>98</v>
      </c>
    </row>
    <row r="100" spans="1:8" ht="12.45" customHeight="1" x14ac:dyDescent="0.3">
      <c r="A100" s="2" t="s">
        <v>1222</v>
      </c>
      <c r="B100" s="2">
        <v>49.5</v>
      </c>
      <c r="C100" s="2">
        <v>4.04</v>
      </c>
      <c r="D100" s="2">
        <v>199.8</v>
      </c>
      <c r="E100" s="6">
        <f t="shared" si="9"/>
        <v>92</v>
      </c>
      <c r="F100" s="6">
        <f t="shared" si="10"/>
        <v>115</v>
      </c>
      <c r="G100" s="2">
        <f t="shared" si="11"/>
        <v>98.899999999999991</v>
      </c>
      <c r="H100" s="7">
        <v>99</v>
      </c>
    </row>
    <row r="101" spans="1:8" ht="12.45" customHeight="1" x14ac:dyDescent="0.3">
      <c r="A101" s="2" t="s">
        <v>1232</v>
      </c>
      <c r="B101" s="2">
        <v>56</v>
      </c>
      <c r="C101" s="2">
        <v>3.89</v>
      </c>
      <c r="D101" s="2">
        <v>217.6</v>
      </c>
      <c r="E101" s="6">
        <f t="shared" si="9"/>
        <v>104</v>
      </c>
      <c r="F101" s="6">
        <f t="shared" si="10"/>
        <v>88</v>
      </c>
      <c r="G101" s="2">
        <f t="shared" si="11"/>
        <v>99.199999999999989</v>
      </c>
      <c r="H101" s="7">
        <v>100</v>
      </c>
    </row>
    <row r="102" spans="1:8" ht="12.45" customHeight="1" x14ac:dyDescent="0.3">
      <c r="A102" s="2" t="s">
        <v>1223</v>
      </c>
      <c r="B102" s="2">
        <v>53</v>
      </c>
      <c r="C102" s="2">
        <v>3.97</v>
      </c>
      <c r="D102" s="2">
        <v>210.15</v>
      </c>
      <c r="E102" s="6">
        <f t="shared" si="9"/>
        <v>99</v>
      </c>
      <c r="F102" s="6">
        <f t="shared" si="10"/>
        <v>101</v>
      </c>
      <c r="G102" s="2">
        <f t="shared" si="11"/>
        <v>99.6</v>
      </c>
      <c r="H102" s="7">
        <v>101</v>
      </c>
    </row>
    <row r="103" spans="1:8" ht="12.45" customHeight="1" x14ac:dyDescent="0.3">
      <c r="A103" s="2" t="s">
        <v>1220</v>
      </c>
      <c r="B103" s="2">
        <v>45.5</v>
      </c>
      <c r="C103" s="2">
        <v>4.07</v>
      </c>
      <c r="D103" s="2">
        <v>185.25</v>
      </c>
      <c r="E103" s="6">
        <f t="shared" si="9"/>
        <v>85</v>
      </c>
      <c r="F103" s="6">
        <f t="shared" si="10"/>
        <v>143</v>
      </c>
      <c r="G103" s="2">
        <f t="shared" si="11"/>
        <v>102.39999999999999</v>
      </c>
      <c r="H103" s="7">
        <v>102</v>
      </c>
    </row>
    <row r="104" spans="1:8" ht="12.45" customHeight="1" x14ac:dyDescent="0.3">
      <c r="A104" s="2" t="s">
        <v>1229</v>
      </c>
      <c r="B104" s="2">
        <v>51</v>
      </c>
      <c r="C104" s="2">
        <v>3.94</v>
      </c>
      <c r="D104" s="2">
        <v>201.15</v>
      </c>
      <c r="E104" s="6">
        <f t="shared" si="9"/>
        <v>101</v>
      </c>
      <c r="F104" s="6">
        <f t="shared" si="10"/>
        <v>111</v>
      </c>
      <c r="G104" s="2">
        <f t="shared" si="11"/>
        <v>103.99999999999999</v>
      </c>
      <c r="H104" s="7">
        <v>103</v>
      </c>
    </row>
    <row r="105" spans="1:8" ht="12.45" customHeight="1" x14ac:dyDescent="0.3">
      <c r="A105" s="2" t="s">
        <v>1231</v>
      </c>
      <c r="B105" s="2">
        <v>53.5</v>
      </c>
      <c r="C105" s="2">
        <v>3.88</v>
      </c>
      <c r="D105" s="2">
        <v>207.65</v>
      </c>
      <c r="E105" s="6">
        <f t="shared" si="9"/>
        <v>105</v>
      </c>
      <c r="F105" s="6">
        <f t="shared" si="10"/>
        <v>102</v>
      </c>
      <c r="G105" s="2">
        <f t="shared" si="11"/>
        <v>104.1</v>
      </c>
      <c r="H105" s="7">
        <v>104</v>
      </c>
    </row>
    <row r="106" spans="1:8" ht="12.45" customHeight="1" x14ac:dyDescent="0.3">
      <c r="A106" s="2" t="s">
        <v>1224</v>
      </c>
      <c r="B106" s="2">
        <v>55</v>
      </c>
      <c r="C106" s="2">
        <v>3.86</v>
      </c>
      <c r="D106" s="2">
        <v>212.5</v>
      </c>
      <c r="E106" s="6">
        <f t="shared" si="9"/>
        <v>110</v>
      </c>
      <c r="F106" s="6">
        <f t="shared" si="10"/>
        <v>97</v>
      </c>
      <c r="G106" s="2">
        <f t="shared" si="11"/>
        <v>106.1</v>
      </c>
      <c r="H106" s="7">
        <v>105</v>
      </c>
    </row>
    <row r="107" spans="1:8" ht="12.45" customHeight="1" x14ac:dyDescent="0.3">
      <c r="A107" s="2" t="s">
        <v>1225</v>
      </c>
      <c r="B107" s="2">
        <v>56</v>
      </c>
      <c r="C107" s="2">
        <v>3.84</v>
      </c>
      <c r="D107" s="2">
        <v>215.3</v>
      </c>
      <c r="E107" s="6">
        <f t="shared" si="9"/>
        <v>113</v>
      </c>
      <c r="F107" s="6">
        <f t="shared" si="10"/>
        <v>91</v>
      </c>
      <c r="G107" s="2">
        <f t="shared" si="11"/>
        <v>106.39999999999999</v>
      </c>
      <c r="H107" s="7">
        <v>106</v>
      </c>
    </row>
    <row r="108" spans="1:8" ht="12.45" customHeight="1" x14ac:dyDescent="0.3">
      <c r="A108" s="2" t="s">
        <v>1227</v>
      </c>
      <c r="B108" s="2">
        <v>59</v>
      </c>
      <c r="C108" s="2">
        <v>3.76</v>
      </c>
      <c r="D108" s="2">
        <v>221.85</v>
      </c>
      <c r="E108" s="6">
        <f t="shared" si="9"/>
        <v>122</v>
      </c>
      <c r="F108" s="6">
        <f t="shared" si="10"/>
        <v>75</v>
      </c>
      <c r="G108" s="2">
        <f t="shared" si="11"/>
        <v>107.89999999999999</v>
      </c>
      <c r="H108" s="7">
        <v>107</v>
      </c>
    </row>
    <row r="109" spans="1:8" ht="12.45" customHeight="1" x14ac:dyDescent="0.3">
      <c r="A109" s="2" t="s">
        <v>1233</v>
      </c>
      <c r="B109" s="2">
        <v>53.5</v>
      </c>
      <c r="C109" s="2">
        <v>3.86</v>
      </c>
      <c r="D109" s="2">
        <v>206.7</v>
      </c>
      <c r="E109" s="6">
        <f t="shared" si="9"/>
        <v>110</v>
      </c>
      <c r="F109" s="6">
        <f t="shared" si="10"/>
        <v>104</v>
      </c>
      <c r="G109" s="2">
        <f t="shared" si="11"/>
        <v>108.2</v>
      </c>
      <c r="H109" s="7">
        <v>108</v>
      </c>
    </row>
    <row r="110" spans="1:8" ht="12.45" customHeight="1" x14ac:dyDescent="0.3">
      <c r="A110" s="2" t="s">
        <v>1237</v>
      </c>
      <c r="B110" s="2">
        <v>51.5</v>
      </c>
      <c r="C110" s="2">
        <v>3.87</v>
      </c>
      <c r="D110" s="2">
        <v>199.5</v>
      </c>
      <c r="E110" s="6">
        <f t="shared" si="9"/>
        <v>106</v>
      </c>
      <c r="F110" s="6">
        <f t="shared" si="10"/>
        <v>117</v>
      </c>
      <c r="G110" s="2">
        <f t="shared" si="11"/>
        <v>109.29999999999998</v>
      </c>
      <c r="H110" s="7">
        <v>109</v>
      </c>
    </row>
    <row r="111" spans="1:8" ht="12.45" customHeight="1" x14ac:dyDescent="0.3">
      <c r="A111" s="2" t="s">
        <v>1228</v>
      </c>
      <c r="B111" s="2">
        <v>56</v>
      </c>
      <c r="C111" s="2">
        <v>3.8</v>
      </c>
      <c r="D111" s="2">
        <v>212.8</v>
      </c>
      <c r="E111" s="6">
        <f t="shared" si="9"/>
        <v>117</v>
      </c>
      <c r="F111" s="6">
        <f t="shared" si="10"/>
        <v>96</v>
      </c>
      <c r="G111" s="2">
        <f t="shared" si="11"/>
        <v>110.69999999999999</v>
      </c>
      <c r="H111" s="7">
        <v>110</v>
      </c>
    </row>
    <row r="112" spans="1:8" ht="12.45" customHeight="1" x14ac:dyDescent="0.3">
      <c r="A112" s="2" t="s">
        <v>1238</v>
      </c>
      <c r="B112" s="2">
        <v>61</v>
      </c>
      <c r="C112" s="2">
        <v>3.71</v>
      </c>
      <c r="D112" s="2">
        <v>226.2</v>
      </c>
      <c r="E112" s="6">
        <f t="shared" si="9"/>
        <v>129</v>
      </c>
      <c r="F112" s="6">
        <f t="shared" si="10"/>
        <v>69</v>
      </c>
      <c r="G112" s="2">
        <f t="shared" si="11"/>
        <v>111</v>
      </c>
      <c r="H112" s="7">
        <v>111</v>
      </c>
    </row>
    <row r="113" spans="1:8" ht="12.45" customHeight="1" x14ac:dyDescent="0.3">
      <c r="A113" s="2" t="s">
        <v>1239</v>
      </c>
      <c r="B113" s="2">
        <v>53.5</v>
      </c>
      <c r="C113" s="2">
        <v>3.82</v>
      </c>
      <c r="D113" s="2">
        <v>204.15</v>
      </c>
      <c r="E113" s="6">
        <f t="shared" si="9"/>
        <v>114</v>
      </c>
      <c r="F113" s="6">
        <f t="shared" si="10"/>
        <v>106</v>
      </c>
      <c r="G113" s="2">
        <f t="shared" si="11"/>
        <v>111.6</v>
      </c>
      <c r="H113" s="7">
        <v>112</v>
      </c>
    </row>
    <row r="114" spans="1:8" ht="12.45" customHeight="1" x14ac:dyDescent="0.3">
      <c r="A114" s="2" t="s">
        <v>1230</v>
      </c>
      <c r="B114" s="2">
        <v>50.5</v>
      </c>
      <c r="C114" s="2">
        <v>3.87</v>
      </c>
      <c r="D114" s="2">
        <v>195.65</v>
      </c>
      <c r="E114" s="6">
        <f t="shared" si="9"/>
        <v>106</v>
      </c>
      <c r="F114" s="6">
        <f t="shared" si="10"/>
        <v>125</v>
      </c>
      <c r="G114" s="2">
        <f t="shared" si="11"/>
        <v>111.69999999999999</v>
      </c>
      <c r="H114" s="7">
        <v>113</v>
      </c>
    </row>
    <row r="115" spans="1:8" ht="12.45" customHeight="1" x14ac:dyDescent="0.3">
      <c r="A115" s="2" t="s">
        <v>1234</v>
      </c>
      <c r="B115" s="2">
        <v>48</v>
      </c>
      <c r="C115" s="2">
        <v>3.9</v>
      </c>
      <c r="D115" s="2">
        <v>187.2</v>
      </c>
      <c r="E115" s="6">
        <f t="shared" si="9"/>
        <v>103</v>
      </c>
      <c r="F115" s="6">
        <f t="shared" si="10"/>
        <v>136</v>
      </c>
      <c r="G115" s="2">
        <f t="shared" si="11"/>
        <v>112.89999999999999</v>
      </c>
      <c r="H115" s="7">
        <v>114</v>
      </c>
    </row>
    <row r="116" spans="1:8" ht="12.45" customHeight="1" x14ac:dyDescent="0.3">
      <c r="A116" s="2" t="s">
        <v>1235</v>
      </c>
      <c r="B116" s="2">
        <v>49.5</v>
      </c>
      <c r="C116" s="2">
        <v>3.87</v>
      </c>
      <c r="D116" s="2">
        <v>191.6</v>
      </c>
      <c r="E116" s="6">
        <f t="shared" si="9"/>
        <v>106</v>
      </c>
      <c r="F116" s="6">
        <f t="shared" si="10"/>
        <v>131</v>
      </c>
      <c r="G116" s="2">
        <f t="shared" si="11"/>
        <v>113.49999999999999</v>
      </c>
      <c r="H116" s="7">
        <v>115</v>
      </c>
    </row>
    <row r="117" spans="1:8" ht="12.45" customHeight="1" x14ac:dyDescent="0.3">
      <c r="A117" s="2" t="s">
        <v>1236</v>
      </c>
      <c r="B117" s="2">
        <v>54.5</v>
      </c>
      <c r="C117" s="2">
        <v>3.78</v>
      </c>
      <c r="D117" s="2">
        <v>206.05</v>
      </c>
      <c r="E117" s="6">
        <f t="shared" si="9"/>
        <v>118</v>
      </c>
      <c r="F117" s="6">
        <f t="shared" si="10"/>
        <v>105</v>
      </c>
      <c r="G117" s="2">
        <f t="shared" si="11"/>
        <v>114.1</v>
      </c>
      <c r="H117" s="7">
        <v>116</v>
      </c>
    </row>
    <row r="118" spans="1:8" ht="12.45" customHeight="1" x14ac:dyDescent="0.3">
      <c r="A118" s="2" t="s">
        <v>1241</v>
      </c>
      <c r="B118" s="2">
        <v>56</v>
      </c>
      <c r="C118" s="2">
        <v>3.77</v>
      </c>
      <c r="D118" s="2">
        <v>210.95</v>
      </c>
      <c r="E118" s="6">
        <f t="shared" si="9"/>
        <v>121</v>
      </c>
      <c r="F118" s="6">
        <f t="shared" si="10"/>
        <v>100</v>
      </c>
      <c r="G118" s="2">
        <f t="shared" si="11"/>
        <v>114.69999999999999</v>
      </c>
      <c r="H118" s="7">
        <v>117</v>
      </c>
    </row>
    <row r="119" spans="1:8" ht="12.45" customHeight="1" x14ac:dyDescent="0.3">
      <c r="A119" s="2" t="s">
        <v>1240</v>
      </c>
      <c r="B119" s="2">
        <v>46</v>
      </c>
      <c r="C119" s="2">
        <v>3.92</v>
      </c>
      <c r="D119" s="2">
        <v>180.25</v>
      </c>
      <c r="E119" s="6">
        <f t="shared" si="9"/>
        <v>102</v>
      </c>
      <c r="F119" s="6">
        <f t="shared" si="10"/>
        <v>150</v>
      </c>
      <c r="G119" s="2">
        <f t="shared" si="11"/>
        <v>116.39999999999999</v>
      </c>
      <c r="H119" s="7">
        <v>118</v>
      </c>
    </row>
    <row r="120" spans="1:8" ht="12.45" customHeight="1" x14ac:dyDescent="0.3">
      <c r="A120" s="2" t="s">
        <v>1247</v>
      </c>
      <c r="B120" s="2">
        <v>55.5</v>
      </c>
      <c r="C120" s="2">
        <v>3.74</v>
      </c>
      <c r="D120" s="2">
        <v>207.3</v>
      </c>
      <c r="E120" s="6">
        <f t="shared" si="9"/>
        <v>125</v>
      </c>
      <c r="F120" s="6">
        <f t="shared" si="10"/>
        <v>103</v>
      </c>
      <c r="G120" s="2">
        <f t="shared" si="11"/>
        <v>118.4</v>
      </c>
      <c r="H120" s="7">
        <v>119</v>
      </c>
    </row>
    <row r="121" spans="1:8" ht="12.45" customHeight="1" x14ac:dyDescent="0.3">
      <c r="A121" s="2" t="s">
        <v>1249</v>
      </c>
      <c r="B121" s="2">
        <v>49</v>
      </c>
      <c r="C121" s="2">
        <v>3.82</v>
      </c>
      <c r="D121" s="2">
        <v>187.2</v>
      </c>
      <c r="E121" s="6">
        <f t="shared" si="9"/>
        <v>114</v>
      </c>
      <c r="F121" s="6">
        <f t="shared" si="10"/>
        <v>136</v>
      </c>
      <c r="G121" s="2">
        <f t="shared" si="11"/>
        <v>120.6</v>
      </c>
      <c r="H121" s="7">
        <v>120</v>
      </c>
    </row>
    <row r="122" spans="1:8" ht="12.45" customHeight="1" x14ac:dyDescent="0.3">
      <c r="A122" s="2" t="s">
        <v>1244</v>
      </c>
      <c r="B122" s="2">
        <v>51.5</v>
      </c>
      <c r="C122" s="2">
        <v>3.78</v>
      </c>
      <c r="D122" s="2">
        <v>194.7</v>
      </c>
      <c r="E122" s="6">
        <f t="shared" si="9"/>
        <v>118</v>
      </c>
      <c r="F122" s="6">
        <f t="shared" si="10"/>
        <v>127</v>
      </c>
      <c r="G122" s="2">
        <f t="shared" si="11"/>
        <v>120.69999999999999</v>
      </c>
      <c r="H122" s="7">
        <v>121</v>
      </c>
    </row>
    <row r="123" spans="1:8" ht="12.45" customHeight="1" x14ac:dyDescent="0.3">
      <c r="A123" s="2" t="s">
        <v>1250</v>
      </c>
      <c r="B123" s="2">
        <v>49</v>
      </c>
      <c r="C123" s="2">
        <v>3.82</v>
      </c>
      <c r="D123" s="2">
        <v>187.15</v>
      </c>
      <c r="E123" s="6">
        <f t="shared" si="9"/>
        <v>114</v>
      </c>
      <c r="F123" s="6">
        <f t="shared" si="10"/>
        <v>139</v>
      </c>
      <c r="G123" s="2">
        <f t="shared" si="11"/>
        <v>121.5</v>
      </c>
      <c r="H123" s="7">
        <v>122</v>
      </c>
    </row>
    <row r="124" spans="1:8" ht="12.45" customHeight="1" x14ac:dyDescent="0.3">
      <c r="A124" s="2" t="s">
        <v>1242</v>
      </c>
      <c r="B124" s="2">
        <v>53</v>
      </c>
      <c r="C124" s="2">
        <v>3.75</v>
      </c>
      <c r="D124" s="2">
        <v>198.95</v>
      </c>
      <c r="E124" s="6">
        <f t="shared" si="9"/>
        <v>123</v>
      </c>
      <c r="F124" s="6">
        <f t="shared" si="10"/>
        <v>120</v>
      </c>
      <c r="G124" s="2">
        <f t="shared" si="11"/>
        <v>122.1</v>
      </c>
      <c r="H124" s="7">
        <v>123</v>
      </c>
    </row>
    <row r="125" spans="1:8" ht="12.45" customHeight="1" x14ac:dyDescent="0.3">
      <c r="A125" s="2" t="s">
        <v>1245</v>
      </c>
      <c r="B125" s="2">
        <v>53.5</v>
      </c>
      <c r="C125" s="2">
        <v>3.73</v>
      </c>
      <c r="D125" s="2">
        <v>199.8</v>
      </c>
      <c r="E125" s="6">
        <f t="shared" si="9"/>
        <v>126</v>
      </c>
      <c r="F125" s="6">
        <f t="shared" si="10"/>
        <v>115</v>
      </c>
      <c r="G125" s="2">
        <f t="shared" si="11"/>
        <v>122.69999999999999</v>
      </c>
      <c r="H125" s="7">
        <v>124</v>
      </c>
    </row>
    <row r="126" spans="1:8" ht="12.45" customHeight="1" x14ac:dyDescent="0.3">
      <c r="A126" s="2" t="s">
        <v>1243</v>
      </c>
      <c r="B126" s="2">
        <v>47</v>
      </c>
      <c r="C126" s="2">
        <v>3.85</v>
      </c>
      <c r="D126" s="2">
        <v>180.75</v>
      </c>
      <c r="E126" s="6">
        <f t="shared" si="9"/>
        <v>112</v>
      </c>
      <c r="F126" s="6">
        <f t="shared" si="10"/>
        <v>148</v>
      </c>
      <c r="G126" s="2">
        <f t="shared" si="11"/>
        <v>122.79999999999998</v>
      </c>
      <c r="H126" s="7">
        <v>125</v>
      </c>
    </row>
    <row r="127" spans="1:8" ht="12.45" customHeight="1" x14ac:dyDescent="0.3">
      <c r="A127" s="2" t="s">
        <v>1248</v>
      </c>
      <c r="B127" s="2">
        <v>49.5</v>
      </c>
      <c r="C127" s="2">
        <v>3.78</v>
      </c>
      <c r="D127" s="2">
        <v>187.2</v>
      </c>
      <c r="E127" s="6">
        <f t="shared" si="9"/>
        <v>118</v>
      </c>
      <c r="F127" s="6">
        <f t="shared" si="10"/>
        <v>136</v>
      </c>
      <c r="G127" s="2">
        <f t="shared" si="11"/>
        <v>123.39999999999999</v>
      </c>
      <c r="H127" s="7">
        <v>126</v>
      </c>
    </row>
    <row r="128" spans="1:8" ht="12.45" customHeight="1" x14ac:dyDescent="0.3">
      <c r="A128" s="2" t="s">
        <v>1246</v>
      </c>
      <c r="B128" s="2">
        <v>52</v>
      </c>
      <c r="C128" s="2">
        <v>3.75</v>
      </c>
      <c r="D128" s="2">
        <v>195</v>
      </c>
      <c r="E128" s="6">
        <f t="shared" si="9"/>
        <v>123</v>
      </c>
      <c r="F128" s="6">
        <f t="shared" si="10"/>
        <v>126</v>
      </c>
      <c r="G128" s="2">
        <f t="shared" si="11"/>
        <v>123.89999999999999</v>
      </c>
      <c r="H128" s="7">
        <v>127</v>
      </c>
    </row>
    <row r="129" spans="1:8" ht="12.45" customHeight="1" x14ac:dyDescent="0.3">
      <c r="A129" s="2" t="s">
        <v>1256</v>
      </c>
      <c r="B129" s="2">
        <v>52.5</v>
      </c>
      <c r="C129" s="2">
        <v>3.73</v>
      </c>
      <c r="D129" s="2">
        <v>195.75</v>
      </c>
      <c r="E129" s="6">
        <f t="shared" si="9"/>
        <v>126</v>
      </c>
      <c r="F129" s="6">
        <f t="shared" si="10"/>
        <v>124</v>
      </c>
      <c r="G129" s="2">
        <f t="shared" si="11"/>
        <v>125.39999999999998</v>
      </c>
      <c r="H129" s="7">
        <v>128</v>
      </c>
    </row>
    <row r="130" spans="1:8" ht="12.45" customHeight="1" x14ac:dyDescent="0.3">
      <c r="A130" s="2" t="s">
        <v>1258</v>
      </c>
      <c r="B130" s="2">
        <v>54.5</v>
      </c>
      <c r="C130" s="2">
        <v>3.69</v>
      </c>
      <c r="D130" s="2">
        <v>200.95</v>
      </c>
      <c r="E130" s="6">
        <f t="shared" ref="E130:E161" si="12">_xlfn.RANK.EQ(C130,C:C,0)</f>
        <v>132</v>
      </c>
      <c r="F130" s="6">
        <f t="shared" ref="F130:F161" si="13">_xlfn.RANK.EQ(D130,D:D,0)</f>
        <v>112</v>
      </c>
      <c r="G130" s="2">
        <f t="shared" ref="G130:G161" si="14">E130*0.7+F130*0.3</f>
        <v>126</v>
      </c>
      <c r="H130" s="7">
        <v>129</v>
      </c>
    </row>
    <row r="131" spans="1:8" ht="12.45" customHeight="1" x14ac:dyDescent="0.3">
      <c r="A131" s="2" t="s">
        <v>1254</v>
      </c>
      <c r="B131" s="2">
        <v>51.5</v>
      </c>
      <c r="C131" s="2">
        <v>3.73</v>
      </c>
      <c r="D131" s="2">
        <v>192.15</v>
      </c>
      <c r="E131" s="6">
        <f t="shared" si="12"/>
        <v>126</v>
      </c>
      <c r="F131" s="6">
        <f t="shared" si="13"/>
        <v>130</v>
      </c>
      <c r="G131" s="2">
        <f t="shared" si="14"/>
        <v>127.19999999999999</v>
      </c>
      <c r="H131" s="7">
        <v>130</v>
      </c>
    </row>
    <row r="132" spans="1:8" ht="12.45" customHeight="1" x14ac:dyDescent="0.3">
      <c r="A132" s="2" t="s">
        <v>1251</v>
      </c>
      <c r="B132" s="2">
        <v>52.5</v>
      </c>
      <c r="C132" s="2">
        <v>3.71</v>
      </c>
      <c r="D132" s="2">
        <v>194.55</v>
      </c>
      <c r="E132" s="6">
        <f t="shared" si="12"/>
        <v>129</v>
      </c>
      <c r="F132" s="6">
        <f t="shared" si="13"/>
        <v>128</v>
      </c>
      <c r="G132" s="2">
        <f t="shared" si="14"/>
        <v>128.69999999999999</v>
      </c>
      <c r="H132" s="7">
        <v>131</v>
      </c>
    </row>
    <row r="133" spans="1:8" ht="12.45" customHeight="1" x14ac:dyDescent="0.3">
      <c r="A133" s="2" t="s">
        <v>1252</v>
      </c>
      <c r="B133" s="2">
        <v>54</v>
      </c>
      <c r="C133" s="2">
        <v>3.68</v>
      </c>
      <c r="D133" s="2">
        <v>198.7</v>
      </c>
      <c r="E133" s="6">
        <f t="shared" si="12"/>
        <v>134</v>
      </c>
      <c r="F133" s="6">
        <f t="shared" si="13"/>
        <v>121</v>
      </c>
      <c r="G133" s="2">
        <f t="shared" si="14"/>
        <v>130.1</v>
      </c>
      <c r="H133" s="7">
        <v>132</v>
      </c>
    </row>
    <row r="134" spans="1:8" ht="12.45" customHeight="1" x14ac:dyDescent="0.3">
      <c r="A134" s="2" t="s">
        <v>1253</v>
      </c>
      <c r="B134" s="2">
        <v>52</v>
      </c>
      <c r="C134" s="2">
        <v>3.7</v>
      </c>
      <c r="D134" s="2">
        <v>192.3</v>
      </c>
      <c r="E134" s="6">
        <f t="shared" si="12"/>
        <v>131</v>
      </c>
      <c r="F134" s="6">
        <f t="shared" si="13"/>
        <v>129</v>
      </c>
      <c r="G134" s="2">
        <f t="shared" si="14"/>
        <v>130.39999999999998</v>
      </c>
      <c r="H134" s="7">
        <v>133</v>
      </c>
    </row>
    <row r="135" spans="1:8" ht="12.45" customHeight="1" x14ac:dyDescent="0.3">
      <c r="A135" s="2" t="s">
        <v>1255</v>
      </c>
      <c r="B135" s="2">
        <v>55</v>
      </c>
      <c r="C135" s="2">
        <v>3.62</v>
      </c>
      <c r="D135" s="2">
        <v>199.2</v>
      </c>
      <c r="E135" s="6">
        <f t="shared" si="12"/>
        <v>138</v>
      </c>
      <c r="F135" s="6">
        <f t="shared" si="13"/>
        <v>119</v>
      </c>
      <c r="G135" s="2">
        <f t="shared" si="14"/>
        <v>132.29999999999998</v>
      </c>
      <c r="H135" s="7">
        <v>134</v>
      </c>
    </row>
    <row r="136" spans="1:8" ht="12.45" customHeight="1" x14ac:dyDescent="0.3">
      <c r="A136" s="2" t="s">
        <v>1260</v>
      </c>
      <c r="B136" s="2">
        <v>55.5</v>
      </c>
      <c r="C136" s="2">
        <v>3.57</v>
      </c>
      <c r="D136" s="2">
        <v>198.15</v>
      </c>
      <c r="E136" s="6">
        <f t="shared" si="12"/>
        <v>141</v>
      </c>
      <c r="F136" s="6">
        <f t="shared" si="13"/>
        <v>122</v>
      </c>
      <c r="G136" s="2">
        <f t="shared" si="14"/>
        <v>135.29999999999998</v>
      </c>
      <c r="H136" s="7">
        <v>135</v>
      </c>
    </row>
    <row r="137" spans="1:8" ht="12.45" customHeight="1" x14ac:dyDescent="0.3">
      <c r="A137" s="2" t="s">
        <v>1257</v>
      </c>
      <c r="B137" s="2">
        <v>56.5</v>
      </c>
      <c r="C137" s="2">
        <v>3.55</v>
      </c>
      <c r="D137" s="2">
        <v>200.8</v>
      </c>
      <c r="E137" s="6">
        <f t="shared" si="12"/>
        <v>145</v>
      </c>
      <c r="F137" s="6">
        <f t="shared" si="13"/>
        <v>113</v>
      </c>
      <c r="G137" s="2">
        <f t="shared" si="14"/>
        <v>135.4</v>
      </c>
      <c r="H137" s="7">
        <v>136</v>
      </c>
    </row>
    <row r="138" spans="1:8" ht="12.45" customHeight="1" x14ac:dyDescent="0.3">
      <c r="A138" s="2" t="s">
        <v>1262</v>
      </c>
      <c r="B138" s="2">
        <v>50</v>
      </c>
      <c r="C138" s="2">
        <v>3.69</v>
      </c>
      <c r="D138" s="2">
        <v>184.5</v>
      </c>
      <c r="E138" s="6">
        <f t="shared" si="12"/>
        <v>132</v>
      </c>
      <c r="F138" s="6">
        <f t="shared" si="13"/>
        <v>144</v>
      </c>
      <c r="G138" s="2">
        <f t="shared" si="14"/>
        <v>135.6</v>
      </c>
      <c r="H138" s="7">
        <v>137</v>
      </c>
    </row>
    <row r="139" spans="1:8" ht="12.45" customHeight="1" x14ac:dyDescent="0.3">
      <c r="A139" s="2" t="s">
        <v>1263</v>
      </c>
      <c r="B139" s="2">
        <v>53</v>
      </c>
      <c r="C139" s="2">
        <v>3.6</v>
      </c>
      <c r="D139" s="2">
        <v>190.95</v>
      </c>
      <c r="E139" s="6">
        <f t="shared" si="12"/>
        <v>139</v>
      </c>
      <c r="F139" s="6">
        <f t="shared" si="13"/>
        <v>132</v>
      </c>
      <c r="G139" s="2">
        <f t="shared" si="14"/>
        <v>136.9</v>
      </c>
      <c r="H139" s="7">
        <v>138</v>
      </c>
    </row>
    <row r="140" spans="1:8" ht="12.45" customHeight="1" x14ac:dyDescent="0.3">
      <c r="A140" s="2" t="s">
        <v>1259</v>
      </c>
      <c r="B140" s="2">
        <v>47</v>
      </c>
      <c r="C140" s="2">
        <v>3.68</v>
      </c>
      <c r="D140" s="2">
        <v>183.8</v>
      </c>
      <c r="E140" s="6">
        <f t="shared" si="12"/>
        <v>134</v>
      </c>
      <c r="F140" s="6">
        <f t="shared" si="13"/>
        <v>145</v>
      </c>
      <c r="G140" s="2">
        <f t="shared" si="14"/>
        <v>137.30000000000001</v>
      </c>
      <c r="H140" s="7">
        <v>139</v>
      </c>
    </row>
    <row r="141" spans="1:8" ht="12.45" customHeight="1" x14ac:dyDescent="0.3">
      <c r="A141" s="2" t="s">
        <v>1265</v>
      </c>
      <c r="B141" s="2">
        <v>53.5</v>
      </c>
      <c r="C141" s="2">
        <v>3.56</v>
      </c>
      <c r="D141" s="2">
        <v>190.2</v>
      </c>
      <c r="E141" s="6">
        <f t="shared" si="12"/>
        <v>143</v>
      </c>
      <c r="F141" s="6">
        <f t="shared" si="13"/>
        <v>133</v>
      </c>
      <c r="G141" s="2">
        <f t="shared" si="14"/>
        <v>140</v>
      </c>
      <c r="H141" s="7">
        <v>140</v>
      </c>
    </row>
    <row r="142" spans="1:8" ht="12.45" customHeight="1" x14ac:dyDescent="0.3">
      <c r="A142" s="2" t="s">
        <v>1264</v>
      </c>
      <c r="B142" s="2">
        <v>49</v>
      </c>
      <c r="C142" s="2">
        <v>3.66</v>
      </c>
      <c r="D142" s="2">
        <v>179.1</v>
      </c>
      <c r="E142" s="6">
        <f t="shared" si="12"/>
        <v>137</v>
      </c>
      <c r="F142" s="6">
        <f t="shared" si="13"/>
        <v>152</v>
      </c>
      <c r="G142" s="2">
        <f t="shared" si="14"/>
        <v>141.5</v>
      </c>
      <c r="H142" s="7">
        <v>141</v>
      </c>
    </row>
    <row r="143" spans="1:8" ht="12.45" customHeight="1" x14ac:dyDescent="0.3">
      <c r="A143" s="2" t="s">
        <v>1261</v>
      </c>
      <c r="B143" s="2">
        <v>52.5</v>
      </c>
      <c r="C143" s="2">
        <v>3.56</v>
      </c>
      <c r="D143" s="2">
        <v>186.85</v>
      </c>
      <c r="E143" s="6">
        <f t="shared" si="12"/>
        <v>143</v>
      </c>
      <c r="F143" s="6">
        <f t="shared" si="13"/>
        <v>140</v>
      </c>
      <c r="G143" s="2">
        <f t="shared" si="14"/>
        <v>142.1</v>
      </c>
      <c r="H143" s="7">
        <v>142</v>
      </c>
    </row>
    <row r="144" spans="1:8" ht="12.45" customHeight="1" x14ac:dyDescent="0.3">
      <c r="A144" s="2" t="s">
        <v>1270</v>
      </c>
      <c r="B144" s="2">
        <v>54</v>
      </c>
      <c r="C144" s="2">
        <v>3.52</v>
      </c>
      <c r="D144" s="2">
        <v>189.9</v>
      </c>
      <c r="E144" s="6">
        <f t="shared" si="12"/>
        <v>147</v>
      </c>
      <c r="F144" s="6">
        <f t="shared" si="13"/>
        <v>134</v>
      </c>
      <c r="G144" s="2">
        <f t="shared" si="14"/>
        <v>143.1</v>
      </c>
      <c r="H144" s="7">
        <v>143</v>
      </c>
    </row>
    <row r="145" spans="1:8" ht="12.45" customHeight="1" x14ac:dyDescent="0.3">
      <c r="A145" s="2" t="s">
        <v>1269</v>
      </c>
      <c r="B145" s="2">
        <v>54.5</v>
      </c>
      <c r="C145" s="2">
        <v>3.55</v>
      </c>
      <c r="D145" s="2">
        <v>181.3</v>
      </c>
      <c r="E145" s="6">
        <f t="shared" si="12"/>
        <v>145</v>
      </c>
      <c r="F145" s="6">
        <f t="shared" si="13"/>
        <v>147</v>
      </c>
      <c r="G145" s="2">
        <f t="shared" si="14"/>
        <v>145.6</v>
      </c>
      <c r="H145" s="7">
        <v>144</v>
      </c>
    </row>
    <row r="146" spans="1:8" ht="12.45" customHeight="1" x14ac:dyDescent="0.3">
      <c r="A146" s="2" t="s">
        <v>1271</v>
      </c>
      <c r="B146" s="2">
        <v>60.5</v>
      </c>
      <c r="C146" s="2">
        <v>3.34</v>
      </c>
      <c r="D146" s="2">
        <v>201.95</v>
      </c>
      <c r="E146" s="6">
        <f t="shared" si="12"/>
        <v>161</v>
      </c>
      <c r="F146" s="6">
        <f t="shared" si="13"/>
        <v>110</v>
      </c>
      <c r="G146" s="2">
        <f t="shared" si="14"/>
        <v>145.69999999999999</v>
      </c>
      <c r="H146" s="7">
        <v>145</v>
      </c>
    </row>
    <row r="147" spans="1:8" ht="12.45" customHeight="1" x14ac:dyDescent="0.3">
      <c r="A147" s="2" t="s">
        <v>1267</v>
      </c>
      <c r="B147" s="2">
        <v>46</v>
      </c>
      <c r="C147" s="2">
        <v>3.6</v>
      </c>
      <c r="D147" s="2">
        <v>165.75</v>
      </c>
      <c r="E147" s="6">
        <f t="shared" si="12"/>
        <v>139</v>
      </c>
      <c r="F147" s="6">
        <f t="shared" si="13"/>
        <v>164</v>
      </c>
      <c r="G147" s="2">
        <f t="shared" si="14"/>
        <v>146.5</v>
      </c>
      <c r="H147" s="7">
        <v>146</v>
      </c>
    </row>
    <row r="148" spans="1:8" ht="12.45" customHeight="1" x14ac:dyDescent="0.3">
      <c r="A148" s="2" t="s">
        <v>1268</v>
      </c>
      <c r="B148" s="2">
        <v>58</v>
      </c>
      <c r="C148" s="2">
        <v>3.4</v>
      </c>
      <c r="D148" s="2">
        <v>197.1</v>
      </c>
      <c r="E148" s="6">
        <f t="shared" si="12"/>
        <v>158</v>
      </c>
      <c r="F148" s="6">
        <f t="shared" si="13"/>
        <v>123</v>
      </c>
      <c r="G148" s="2">
        <f t="shared" si="14"/>
        <v>147.5</v>
      </c>
      <c r="H148" s="7">
        <v>147</v>
      </c>
    </row>
    <row r="149" spans="1:8" ht="12.45" customHeight="1" x14ac:dyDescent="0.3">
      <c r="A149" s="2" t="s">
        <v>1276</v>
      </c>
      <c r="B149" s="2">
        <v>46.5</v>
      </c>
      <c r="C149" s="2">
        <v>3.57</v>
      </c>
      <c r="D149" s="2">
        <v>165.9</v>
      </c>
      <c r="E149" s="6">
        <f t="shared" si="12"/>
        <v>141</v>
      </c>
      <c r="F149" s="6">
        <f t="shared" si="13"/>
        <v>163</v>
      </c>
      <c r="G149" s="2">
        <f t="shared" si="14"/>
        <v>147.6</v>
      </c>
      <c r="H149" s="7">
        <v>148</v>
      </c>
    </row>
    <row r="150" spans="1:8" ht="12.45" customHeight="1" x14ac:dyDescent="0.3">
      <c r="A150" s="2" t="s">
        <v>1266</v>
      </c>
      <c r="B150" s="2">
        <v>42.5</v>
      </c>
      <c r="C150" s="2">
        <v>3.67</v>
      </c>
      <c r="D150" s="2">
        <v>155.85</v>
      </c>
      <c r="E150" s="6">
        <f t="shared" si="12"/>
        <v>136</v>
      </c>
      <c r="F150" s="6">
        <f t="shared" si="13"/>
        <v>175</v>
      </c>
      <c r="G150" s="2">
        <f t="shared" si="14"/>
        <v>147.69999999999999</v>
      </c>
      <c r="H150" s="7">
        <v>149</v>
      </c>
    </row>
    <row r="151" spans="1:8" ht="12.45" customHeight="1" x14ac:dyDescent="0.3">
      <c r="A151" s="2" t="s">
        <v>1272</v>
      </c>
      <c r="B151" s="2">
        <v>51.5</v>
      </c>
      <c r="C151" s="2">
        <v>3.51</v>
      </c>
      <c r="D151" s="2">
        <v>180.65</v>
      </c>
      <c r="E151" s="6">
        <f t="shared" si="12"/>
        <v>149</v>
      </c>
      <c r="F151" s="6">
        <f t="shared" si="13"/>
        <v>149</v>
      </c>
      <c r="G151" s="2">
        <f t="shared" si="14"/>
        <v>149</v>
      </c>
      <c r="H151" s="7">
        <v>150</v>
      </c>
    </row>
    <row r="152" spans="1:8" ht="12.45" customHeight="1" x14ac:dyDescent="0.3">
      <c r="A152" s="2" t="s">
        <v>1278</v>
      </c>
      <c r="B152" s="2">
        <v>54.5</v>
      </c>
      <c r="C152" s="2">
        <v>3.45</v>
      </c>
      <c r="D152" s="2">
        <v>188.05</v>
      </c>
      <c r="E152" s="6">
        <f t="shared" si="12"/>
        <v>155</v>
      </c>
      <c r="F152" s="6">
        <f t="shared" si="13"/>
        <v>135</v>
      </c>
      <c r="G152" s="2">
        <f t="shared" si="14"/>
        <v>149</v>
      </c>
      <c r="H152" s="7">
        <v>150</v>
      </c>
    </row>
    <row r="153" spans="1:8" ht="12.45" customHeight="1" x14ac:dyDescent="0.3">
      <c r="A153" s="2" t="s">
        <v>1277</v>
      </c>
      <c r="B153" s="2">
        <v>49.5</v>
      </c>
      <c r="C153" s="2">
        <v>3.47</v>
      </c>
      <c r="D153" s="2">
        <v>185.7</v>
      </c>
      <c r="E153" s="6">
        <f t="shared" si="12"/>
        <v>153</v>
      </c>
      <c r="F153" s="6">
        <f t="shared" si="13"/>
        <v>142</v>
      </c>
      <c r="G153" s="2">
        <f t="shared" si="14"/>
        <v>149.69999999999999</v>
      </c>
      <c r="H153" s="7">
        <v>152</v>
      </c>
    </row>
    <row r="154" spans="1:8" ht="12.45" customHeight="1" x14ac:dyDescent="0.3">
      <c r="A154" s="2" t="s">
        <v>1274</v>
      </c>
      <c r="B154" s="2">
        <v>52</v>
      </c>
      <c r="C154" s="2">
        <v>3.49</v>
      </c>
      <c r="D154" s="2">
        <v>181.65</v>
      </c>
      <c r="E154" s="6">
        <f t="shared" si="12"/>
        <v>152</v>
      </c>
      <c r="F154" s="6">
        <f t="shared" si="13"/>
        <v>146</v>
      </c>
      <c r="G154" s="2">
        <f t="shared" si="14"/>
        <v>150.19999999999999</v>
      </c>
      <c r="H154" s="7">
        <v>153</v>
      </c>
    </row>
    <row r="155" spans="1:8" ht="12.45" customHeight="1" x14ac:dyDescent="0.3">
      <c r="A155" s="2" t="s">
        <v>1281</v>
      </c>
      <c r="B155" s="2">
        <v>49.5</v>
      </c>
      <c r="C155" s="2">
        <v>3.5</v>
      </c>
      <c r="D155" s="2">
        <v>173.4</v>
      </c>
      <c r="E155" s="6">
        <f t="shared" si="12"/>
        <v>150</v>
      </c>
      <c r="F155" s="6">
        <f t="shared" si="13"/>
        <v>156</v>
      </c>
      <c r="G155" s="2">
        <f t="shared" si="14"/>
        <v>151.80000000000001</v>
      </c>
      <c r="H155" s="7">
        <v>154</v>
      </c>
    </row>
    <row r="156" spans="1:8" ht="12.45" customHeight="1" x14ac:dyDescent="0.3">
      <c r="A156" s="2" t="s">
        <v>1273</v>
      </c>
      <c r="B156" s="2">
        <v>45.5</v>
      </c>
      <c r="C156" s="2">
        <v>3.52</v>
      </c>
      <c r="D156" s="2">
        <v>165.3</v>
      </c>
      <c r="E156" s="6">
        <f t="shared" si="12"/>
        <v>147</v>
      </c>
      <c r="F156" s="6">
        <f t="shared" si="13"/>
        <v>165</v>
      </c>
      <c r="G156" s="2">
        <f t="shared" si="14"/>
        <v>152.39999999999998</v>
      </c>
      <c r="H156" s="7">
        <v>155</v>
      </c>
    </row>
    <row r="157" spans="1:8" ht="12.45" customHeight="1" x14ac:dyDescent="0.3">
      <c r="A157" s="2" t="s">
        <v>1279</v>
      </c>
      <c r="B157" s="2">
        <v>50</v>
      </c>
      <c r="C157" s="2">
        <v>3.47</v>
      </c>
      <c r="D157" s="2">
        <v>173.55</v>
      </c>
      <c r="E157" s="6">
        <f t="shared" si="12"/>
        <v>153</v>
      </c>
      <c r="F157" s="6">
        <f t="shared" si="13"/>
        <v>155</v>
      </c>
      <c r="G157" s="2">
        <f t="shared" si="14"/>
        <v>153.6</v>
      </c>
      <c r="H157" s="7">
        <v>156</v>
      </c>
    </row>
    <row r="158" spans="1:8" ht="12.45" customHeight="1" x14ac:dyDescent="0.3">
      <c r="A158" s="2" t="s">
        <v>1283</v>
      </c>
      <c r="B158" s="2">
        <v>52</v>
      </c>
      <c r="C158" s="2">
        <v>3.39</v>
      </c>
      <c r="D158" s="2">
        <v>186.45</v>
      </c>
      <c r="E158" s="6">
        <f t="shared" si="12"/>
        <v>159</v>
      </c>
      <c r="F158" s="6">
        <f t="shared" si="13"/>
        <v>141</v>
      </c>
      <c r="G158" s="2">
        <f t="shared" si="14"/>
        <v>153.6</v>
      </c>
      <c r="H158" s="7">
        <v>156</v>
      </c>
    </row>
    <row r="159" spans="1:8" ht="12.45" customHeight="1" x14ac:dyDescent="0.3">
      <c r="A159" s="2" t="s">
        <v>1275</v>
      </c>
      <c r="B159" s="2">
        <v>48</v>
      </c>
      <c r="C159" s="2">
        <v>3.43</v>
      </c>
      <c r="D159" s="2">
        <v>178.2</v>
      </c>
      <c r="E159" s="6">
        <f t="shared" si="12"/>
        <v>156</v>
      </c>
      <c r="F159" s="6">
        <f t="shared" si="13"/>
        <v>153</v>
      </c>
      <c r="G159" s="2">
        <f t="shared" si="14"/>
        <v>155.1</v>
      </c>
      <c r="H159" s="7">
        <v>158</v>
      </c>
    </row>
    <row r="160" spans="1:8" ht="12.45" customHeight="1" x14ac:dyDescent="0.3">
      <c r="A160" s="2" t="s">
        <v>1280</v>
      </c>
      <c r="B160" s="2">
        <v>50.5</v>
      </c>
      <c r="C160" s="2">
        <v>3.43</v>
      </c>
      <c r="D160" s="2">
        <v>173.25</v>
      </c>
      <c r="E160" s="6">
        <f t="shared" si="12"/>
        <v>156</v>
      </c>
      <c r="F160" s="6">
        <f t="shared" si="13"/>
        <v>157</v>
      </c>
      <c r="G160" s="2">
        <f t="shared" si="14"/>
        <v>156.29999999999998</v>
      </c>
      <c r="H160" s="7">
        <v>159</v>
      </c>
    </row>
    <row r="161" spans="1:8" ht="12.45" customHeight="1" x14ac:dyDescent="0.3">
      <c r="A161" s="2" t="s">
        <v>1282</v>
      </c>
      <c r="B161" s="2">
        <v>42.5</v>
      </c>
      <c r="C161" s="2">
        <v>3.5</v>
      </c>
      <c r="D161" s="2">
        <v>155.85</v>
      </c>
      <c r="E161" s="6">
        <f t="shared" si="12"/>
        <v>150</v>
      </c>
      <c r="F161" s="6">
        <f t="shared" si="13"/>
        <v>175</v>
      </c>
      <c r="G161" s="2">
        <f t="shared" si="14"/>
        <v>157.5</v>
      </c>
      <c r="H161" s="7">
        <v>160</v>
      </c>
    </row>
    <row r="162" spans="1:8" ht="12.45" customHeight="1" x14ac:dyDescent="0.3">
      <c r="A162" s="2" t="s">
        <v>1284</v>
      </c>
      <c r="B162" s="2">
        <v>51.5</v>
      </c>
      <c r="C162" s="2">
        <v>3.24</v>
      </c>
      <c r="D162" s="2">
        <v>179.7</v>
      </c>
      <c r="E162" s="6">
        <f t="shared" ref="E162:E191" si="15">_xlfn.RANK.EQ(C162,C:C,0)</f>
        <v>163</v>
      </c>
      <c r="F162" s="6">
        <f t="shared" ref="F162:F191" si="16">_xlfn.RANK.EQ(D162,D:D,0)</f>
        <v>151</v>
      </c>
      <c r="G162" s="2">
        <f t="shared" ref="G162:G191" si="17">E162*0.7+F162*0.3</f>
        <v>159.39999999999998</v>
      </c>
      <c r="H162" s="7">
        <v>161</v>
      </c>
    </row>
    <row r="163" spans="1:8" ht="12.45" customHeight="1" x14ac:dyDescent="0.3">
      <c r="A163" s="2" t="s">
        <v>1285</v>
      </c>
      <c r="B163" s="2">
        <v>53</v>
      </c>
      <c r="C163" s="2">
        <v>3.29</v>
      </c>
      <c r="D163" s="2">
        <v>174.5</v>
      </c>
      <c r="E163" s="6">
        <f t="shared" si="15"/>
        <v>162</v>
      </c>
      <c r="F163" s="6">
        <f t="shared" si="16"/>
        <v>154</v>
      </c>
      <c r="G163" s="2">
        <f t="shared" si="17"/>
        <v>159.6</v>
      </c>
      <c r="H163" s="7">
        <v>162</v>
      </c>
    </row>
    <row r="164" spans="1:8" ht="12.45" customHeight="1" x14ac:dyDescent="0.3">
      <c r="A164" s="2" t="s">
        <v>1289</v>
      </c>
      <c r="B164" s="2">
        <v>53</v>
      </c>
      <c r="C164" s="2">
        <v>3.21</v>
      </c>
      <c r="D164" s="2">
        <v>169.95</v>
      </c>
      <c r="E164" s="6">
        <f t="shared" si="15"/>
        <v>165</v>
      </c>
      <c r="F164" s="6">
        <f t="shared" si="16"/>
        <v>158</v>
      </c>
      <c r="G164" s="2">
        <f t="shared" si="17"/>
        <v>162.89999999999998</v>
      </c>
      <c r="H164" s="7">
        <v>163</v>
      </c>
    </row>
    <row r="165" spans="1:8" ht="12.45" customHeight="1" x14ac:dyDescent="0.3">
      <c r="A165" s="2" t="s">
        <v>1288</v>
      </c>
      <c r="B165" s="2">
        <v>52</v>
      </c>
      <c r="C165" s="2">
        <v>3.23</v>
      </c>
      <c r="D165" s="2">
        <v>168.15</v>
      </c>
      <c r="E165" s="6">
        <f t="shared" si="15"/>
        <v>164</v>
      </c>
      <c r="F165" s="6">
        <f t="shared" si="16"/>
        <v>161</v>
      </c>
      <c r="G165" s="2">
        <f t="shared" si="17"/>
        <v>163.1</v>
      </c>
      <c r="H165" s="7">
        <v>164</v>
      </c>
    </row>
    <row r="166" spans="1:8" ht="12.45" customHeight="1" x14ac:dyDescent="0.3">
      <c r="A166" s="2" t="s">
        <v>1287</v>
      </c>
      <c r="B166" s="2">
        <v>44.5</v>
      </c>
      <c r="C166" s="2">
        <v>3.39</v>
      </c>
      <c r="D166" s="2">
        <v>154.35</v>
      </c>
      <c r="E166" s="6">
        <f t="shared" si="15"/>
        <v>159</v>
      </c>
      <c r="F166" s="6">
        <f t="shared" si="16"/>
        <v>177</v>
      </c>
      <c r="G166" s="2">
        <f t="shared" si="17"/>
        <v>164.4</v>
      </c>
      <c r="H166" s="7">
        <v>165</v>
      </c>
    </row>
    <row r="167" spans="1:8" ht="12.45" customHeight="1" x14ac:dyDescent="0.3">
      <c r="A167" s="2" t="s">
        <v>1286</v>
      </c>
      <c r="B167" s="2">
        <v>49</v>
      </c>
      <c r="C167" s="2">
        <v>3.2</v>
      </c>
      <c r="D167" s="2">
        <v>169.5</v>
      </c>
      <c r="E167" s="6">
        <f t="shared" si="15"/>
        <v>167</v>
      </c>
      <c r="F167" s="6">
        <f t="shared" si="16"/>
        <v>159</v>
      </c>
      <c r="G167" s="2">
        <f t="shared" si="17"/>
        <v>164.6</v>
      </c>
      <c r="H167" s="7">
        <v>166</v>
      </c>
    </row>
    <row r="168" spans="1:8" ht="12.45" customHeight="1" x14ac:dyDescent="0.3">
      <c r="A168" s="2" t="s">
        <v>1291</v>
      </c>
      <c r="B168" s="2">
        <v>50</v>
      </c>
      <c r="C168" s="2">
        <v>3.14</v>
      </c>
      <c r="D168" s="2">
        <v>169.5</v>
      </c>
      <c r="E168" s="6">
        <f t="shared" si="15"/>
        <v>171</v>
      </c>
      <c r="F168" s="6">
        <f t="shared" si="16"/>
        <v>159</v>
      </c>
      <c r="G168" s="2">
        <f t="shared" si="17"/>
        <v>167.39999999999998</v>
      </c>
      <c r="H168" s="7">
        <v>167</v>
      </c>
    </row>
    <row r="169" spans="1:8" ht="12.45" customHeight="1" x14ac:dyDescent="0.3">
      <c r="A169" s="2" t="s">
        <v>1292</v>
      </c>
      <c r="B169" s="2">
        <v>53</v>
      </c>
      <c r="C169" s="2">
        <v>3.14</v>
      </c>
      <c r="D169" s="2">
        <v>166.2</v>
      </c>
      <c r="E169" s="6">
        <f t="shared" si="15"/>
        <v>171</v>
      </c>
      <c r="F169" s="6">
        <f t="shared" si="16"/>
        <v>162</v>
      </c>
      <c r="G169" s="2">
        <f t="shared" si="17"/>
        <v>168.29999999999998</v>
      </c>
      <c r="H169" s="7">
        <v>168</v>
      </c>
    </row>
    <row r="170" spans="1:8" ht="12.45" customHeight="1" x14ac:dyDescent="0.3">
      <c r="A170" s="2" t="s">
        <v>1290</v>
      </c>
      <c r="B170" s="2">
        <v>52</v>
      </c>
      <c r="C170" s="2">
        <v>3.16</v>
      </c>
      <c r="D170" s="2">
        <v>164.4</v>
      </c>
      <c r="E170" s="6">
        <f t="shared" si="15"/>
        <v>170</v>
      </c>
      <c r="F170" s="6">
        <f t="shared" si="16"/>
        <v>166</v>
      </c>
      <c r="G170" s="2">
        <f t="shared" si="17"/>
        <v>168.79999999999998</v>
      </c>
      <c r="H170" s="7">
        <v>169</v>
      </c>
    </row>
    <row r="171" spans="1:8" ht="12.45" customHeight="1" x14ac:dyDescent="0.3">
      <c r="A171" s="2" t="s">
        <v>1293</v>
      </c>
      <c r="B171" s="2">
        <v>50.5</v>
      </c>
      <c r="C171" s="2">
        <v>3.21</v>
      </c>
      <c r="D171" s="2">
        <v>150.9</v>
      </c>
      <c r="E171" s="6">
        <f t="shared" si="15"/>
        <v>165</v>
      </c>
      <c r="F171" s="6">
        <f t="shared" si="16"/>
        <v>179</v>
      </c>
      <c r="G171" s="2">
        <f t="shared" si="17"/>
        <v>169.2</v>
      </c>
      <c r="H171" s="7">
        <v>170</v>
      </c>
    </row>
    <row r="172" spans="1:8" ht="12.45" customHeight="1" x14ac:dyDescent="0.3">
      <c r="A172" s="2" t="s">
        <v>1294</v>
      </c>
      <c r="B172" s="2">
        <v>50.5</v>
      </c>
      <c r="C172" s="2">
        <v>3.19</v>
      </c>
      <c r="D172" s="2">
        <v>161.1</v>
      </c>
      <c r="E172" s="6">
        <f t="shared" si="15"/>
        <v>168</v>
      </c>
      <c r="F172" s="6">
        <f t="shared" si="16"/>
        <v>173</v>
      </c>
      <c r="G172" s="2">
        <f t="shared" si="17"/>
        <v>169.5</v>
      </c>
      <c r="H172" s="7">
        <v>171</v>
      </c>
    </row>
    <row r="173" spans="1:8" ht="12.45" customHeight="1" x14ac:dyDescent="0.3">
      <c r="A173" s="2" t="s">
        <v>1295</v>
      </c>
      <c r="B173" s="2">
        <v>47</v>
      </c>
      <c r="C173" s="2">
        <v>3.17</v>
      </c>
      <c r="D173" s="2">
        <v>161.85</v>
      </c>
      <c r="E173" s="6">
        <f t="shared" si="15"/>
        <v>169</v>
      </c>
      <c r="F173" s="6">
        <f t="shared" si="16"/>
        <v>171</v>
      </c>
      <c r="G173" s="2">
        <f t="shared" si="17"/>
        <v>169.6</v>
      </c>
      <c r="H173" s="7">
        <v>172</v>
      </c>
    </row>
    <row r="174" spans="1:8" ht="12.45" customHeight="1" x14ac:dyDescent="0.3">
      <c r="A174" s="2" t="s">
        <v>1296</v>
      </c>
      <c r="B174" s="2">
        <v>49</v>
      </c>
      <c r="C174" s="2">
        <v>3.09</v>
      </c>
      <c r="D174" s="2">
        <v>163.80000000000001</v>
      </c>
      <c r="E174" s="6">
        <f t="shared" si="15"/>
        <v>173</v>
      </c>
      <c r="F174" s="6">
        <f t="shared" si="16"/>
        <v>167</v>
      </c>
      <c r="G174" s="2">
        <f t="shared" si="17"/>
        <v>171.2</v>
      </c>
      <c r="H174" s="7">
        <v>173</v>
      </c>
    </row>
    <row r="175" spans="1:8" ht="12.45" customHeight="1" x14ac:dyDescent="0.3">
      <c r="A175" s="2" t="s">
        <v>1299</v>
      </c>
      <c r="B175" s="2">
        <v>52.5</v>
      </c>
      <c r="C175" s="2">
        <v>3.09</v>
      </c>
      <c r="D175" s="2">
        <v>162.25</v>
      </c>
      <c r="E175" s="6">
        <f t="shared" si="15"/>
        <v>173</v>
      </c>
      <c r="F175" s="6">
        <f t="shared" si="16"/>
        <v>170</v>
      </c>
      <c r="G175" s="2">
        <f t="shared" si="17"/>
        <v>172.1</v>
      </c>
      <c r="H175" s="7">
        <v>174</v>
      </c>
    </row>
    <row r="176" spans="1:8" ht="12.45" customHeight="1" x14ac:dyDescent="0.3">
      <c r="A176" s="2" t="s">
        <v>1300</v>
      </c>
      <c r="B176" s="2">
        <v>49</v>
      </c>
      <c r="C176" s="2">
        <v>3.08</v>
      </c>
      <c r="D176" s="2">
        <v>163.4</v>
      </c>
      <c r="E176" s="6">
        <f t="shared" si="15"/>
        <v>175</v>
      </c>
      <c r="F176" s="6">
        <f t="shared" si="16"/>
        <v>168</v>
      </c>
      <c r="G176" s="2">
        <f t="shared" si="17"/>
        <v>172.89999999999998</v>
      </c>
      <c r="H176" s="7">
        <v>175</v>
      </c>
    </row>
    <row r="177" spans="1:8" ht="12.45" customHeight="1" x14ac:dyDescent="0.3">
      <c r="A177" s="2" t="s">
        <v>1297</v>
      </c>
      <c r="B177" s="2">
        <v>46.5</v>
      </c>
      <c r="C177" s="2">
        <v>3.02</v>
      </c>
      <c r="D177" s="2">
        <v>163.19999999999999</v>
      </c>
      <c r="E177" s="6">
        <f t="shared" si="15"/>
        <v>177</v>
      </c>
      <c r="F177" s="6">
        <f t="shared" si="16"/>
        <v>169</v>
      </c>
      <c r="G177" s="2">
        <f t="shared" si="17"/>
        <v>174.6</v>
      </c>
      <c r="H177" s="7">
        <v>176</v>
      </c>
    </row>
    <row r="178" spans="1:8" ht="12.45" customHeight="1" x14ac:dyDescent="0.3">
      <c r="A178" s="2" t="s">
        <v>1301</v>
      </c>
      <c r="B178" s="2">
        <v>54</v>
      </c>
      <c r="C178" s="2">
        <v>2.99</v>
      </c>
      <c r="D178" s="2">
        <v>161.55000000000001</v>
      </c>
      <c r="E178" s="6">
        <f t="shared" si="15"/>
        <v>178</v>
      </c>
      <c r="F178" s="6">
        <f t="shared" si="16"/>
        <v>172</v>
      </c>
      <c r="G178" s="2">
        <f t="shared" si="17"/>
        <v>176.2</v>
      </c>
      <c r="H178" s="7">
        <v>177</v>
      </c>
    </row>
    <row r="179" spans="1:8" ht="12.45" customHeight="1" x14ac:dyDescent="0.3">
      <c r="A179" s="2" t="s">
        <v>1298</v>
      </c>
      <c r="B179" s="2">
        <v>46.5</v>
      </c>
      <c r="C179" s="2">
        <v>3.05</v>
      </c>
      <c r="D179" s="2">
        <v>154.19999999999999</v>
      </c>
      <c r="E179" s="6">
        <f t="shared" si="15"/>
        <v>176</v>
      </c>
      <c r="F179" s="6">
        <f t="shared" si="16"/>
        <v>178</v>
      </c>
      <c r="G179" s="2">
        <f t="shared" si="17"/>
        <v>176.6</v>
      </c>
      <c r="H179" s="7">
        <v>178</v>
      </c>
    </row>
    <row r="180" spans="1:8" ht="12.45" customHeight="1" x14ac:dyDescent="0.3">
      <c r="A180" s="2" t="s">
        <v>1304</v>
      </c>
      <c r="B180" s="2">
        <v>55</v>
      </c>
      <c r="C180" s="2">
        <v>2.85</v>
      </c>
      <c r="D180" s="2">
        <v>156.69999999999999</v>
      </c>
      <c r="E180" s="6">
        <f t="shared" si="15"/>
        <v>182</v>
      </c>
      <c r="F180" s="6">
        <f t="shared" si="16"/>
        <v>174</v>
      </c>
      <c r="G180" s="2">
        <f t="shared" si="17"/>
        <v>179.6</v>
      </c>
      <c r="H180" s="7">
        <v>179</v>
      </c>
    </row>
    <row r="181" spans="1:8" ht="12.45" customHeight="1" x14ac:dyDescent="0.3">
      <c r="A181" s="2" t="s">
        <v>1302</v>
      </c>
      <c r="B181" s="2">
        <v>44</v>
      </c>
      <c r="C181" s="2">
        <v>2.96</v>
      </c>
      <c r="D181" s="2">
        <v>142</v>
      </c>
      <c r="E181" s="6">
        <f t="shared" si="15"/>
        <v>179</v>
      </c>
      <c r="F181" s="6">
        <f t="shared" si="16"/>
        <v>182</v>
      </c>
      <c r="G181" s="2">
        <f t="shared" si="17"/>
        <v>179.9</v>
      </c>
      <c r="H181" s="7">
        <v>180</v>
      </c>
    </row>
    <row r="182" spans="1:8" ht="12.45" customHeight="1" x14ac:dyDescent="0.3">
      <c r="A182" s="2" t="s">
        <v>1303</v>
      </c>
      <c r="B182" s="2">
        <v>50</v>
      </c>
      <c r="C182" s="2">
        <v>2.88</v>
      </c>
      <c r="D182" s="2">
        <v>144.15</v>
      </c>
      <c r="E182" s="6">
        <f t="shared" si="15"/>
        <v>180</v>
      </c>
      <c r="F182" s="6">
        <f t="shared" si="16"/>
        <v>180</v>
      </c>
      <c r="G182" s="2">
        <f t="shared" si="17"/>
        <v>180</v>
      </c>
      <c r="H182" s="7">
        <v>181</v>
      </c>
    </row>
    <row r="183" spans="1:8" ht="12.45" customHeight="1" x14ac:dyDescent="0.3">
      <c r="A183" s="2" t="s">
        <v>1305</v>
      </c>
      <c r="B183" s="2">
        <v>41</v>
      </c>
      <c r="C183" s="2">
        <v>2.86</v>
      </c>
      <c r="D183" s="2">
        <v>134.55000000000001</v>
      </c>
      <c r="E183" s="6">
        <f t="shared" si="15"/>
        <v>181</v>
      </c>
      <c r="F183" s="6">
        <f t="shared" si="16"/>
        <v>184</v>
      </c>
      <c r="G183" s="2">
        <f t="shared" si="17"/>
        <v>181.89999999999998</v>
      </c>
      <c r="H183" s="7">
        <v>182</v>
      </c>
    </row>
    <row r="184" spans="1:8" ht="12.45" customHeight="1" x14ac:dyDescent="0.3">
      <c r="A184" s="2" t="s">
        <v>1307</v>
      </c>
      <c r="B184" s="2">
        <v>44.5</v>
      </c>
      <c r="C184" s="2">
        <v>2.57</v>
      </c>
      <c r="D184" s="2">
        <v>144.15</v>
      </c>
      <c r="E184" s="6">
        <f t="shared" si="15"/>
        <v>184</v>
      </c>
      <c r="F184" s="6">
        <f t="shared" si="16"/>
        <v>180</v>
      </c>
      <c r="G184" s="2">
        <f t="shared" si="17"/>
        <v>182.79999999999998</v>
      </c>
      <c r="H184" s="7">
        <v>183</v>
      </c>
    </row>
    <row r="185" spans="1:8" ht="12.45" customHeight="1" x14ac:dyDescent="0.3">
      <c r="A185" s="2" t="s">
        <v>1306</v>
      </c>
      <c r="B185" s="2">
        <v>46.5</v>
      </c>
      <c r="C185" s="2">
        <v>2.63</v>
      </c>
      <c r="D185" s="2">
        <v>136.80000000000001</v>
      </c>
      <c r="E185" s="6">
        <f t="shared" si="15"/>
        <v>183</v>
      </c>
      <c r="F185" s="6">
        <f t="shared" si="16"/>
        <v>183</v>
      </c>
      <c r="G185" s="2">
        <f t="shared" si="17"/>
        <v>183</v>
      </c>
      <c r="H185" s="7">
        <v>184</v>
      </c>
    </row>
    <row r="186" spans="1:8" ht="12.45" customHeight="1" x14ac:dyDescent="0.3">
      <c r="A186" s="2" t="s">
        <v>1308</v>
      </c>
      <c r="B186" s="2">
        <v>46</v>
      </c>
      <c r="C186" s="2">
        <v>2.48</v>
      </c>
      <c r="D186" s="2">
        <v>133.94999999999999</v>
      </c>
      <c r="E186" s="6">
        <f t="shared" si="15"/>
        <v>185</v>
      </c>
      <c r="F186" s="6">
        <f t="shared" si="16"/>
        <v>185</v>
      </c>
      <c r="G186" s="2">
        <f t="shared" si="17"/>
        <v>185</v>
      </c>
      <c r="H186" s="7">
        <v>185</v>
      </c>
    </row>
    <row r="187" spans="1:8" ht="12.45" customHeight="1" x14ac:dyDescent="0.3">
      <c r="A187" s="2" t="s">
        <v>1309</v>
      </c>
      <c r="B187" s="2">
        <v>38</v>
      </c>
      <c r="C187" s="2">
        <v>2.44</v>
      </c>
      <c r="D187" s="2">
        <v>119.55</v>
      </c>
      <c r="E187" s="6">
        <f t="shared" si="15"/>
        <v>186</v>
      </c>
      <c r="F187" s="6">
        <f t="shared" si="16"/>
        <v>186</v>
      </c>
      <c r="G187" s="2">
        <f t="shared" si="17"/>
        <v>186</v>
      </c>
      <c r="H187" s="7">
        <v>186</v>
      </c>
    </row>
    <row r="188" spans="1:8" ht="12.45" customHeight="1" x14ac:dyDescent="0.3">
      <c r="A188" s="2" t="s">
        <v>1310</v>
      </c>
      <c r="B188" s="2">
        <v>40.5</v>
      </c>
      <c r="C188" s="2">
        <v>2.42</v>
      </c>
      <c r="D188" s="2">
        <v>111.3</v>
      </c>
      <c r="E188" s="6">
        <f t="shared" si="15"/>
        <v>187</v>
      </c>
      <c r="F188" s="6">
        <f t="shared" si="16"/>
        <v>187</v>
      </c>
      <c r="G188" s="2">
        <f t="shared" si="17"/>
        <v>187</v>
      </c>
      <c r="H188" s="7">
        <v>187</v>
      </c>
    </row>
    <row r="189" spans="1:8" ht="12.45" customHeight="1" x14ac:dyDescent="0.3">
      <c r="A189" s="2" t="s">
        <v>1311</v>
      </c>
      <c r="B189" s="2">
        <v>36</v>
      </c>
      <c r="C189" s="2">
        <v>2.06</v>
      </c>
      <c r="D189" s="2">
        <v>106.2</v>
      </c>
      <c r="E189" s="6">
        <f t="shared" si="15"/>
        <v>188</v>
      </c>
      <c r="F189" s="6">
        <f t="shared" si="16"/>
        <v>188</v>
      </c>
      <c r="G189" s="2">
        <f t="shared" si="17"/>
        <v>188</v>
      </c>
      <c r="H189" s="7">
        <v>188</v>
      </c>
    </row>
    <row r="190" spans="1:8" ht="12.45" customHeight="1" x14ac:dyDescent="0.3">
      <c r="A190" s="2" t="s">
        <v>1312</v>
      </c>
      <c r="B190" s="2">
        <v>31.5</v>
      </c>
      <c r="C190" s="2">
        <v>1.97</v>
      </c>
      <c r="D190" s="2">
        <v>89.7</v>
      </c>
      <c r="E190" s="6">
        <f t="shared" si="15"/>
        <v>189</v>
      </c>
      <c r="F190" s="6">
        <f t="shared" si="16"/>
        <v>190</v>
      </c>
      <c r="G190" s="2">
        <f t="shared" si="17"/>
        <v>189.29999999999998</v>
      </c>
      <c r="H190" s="7">
        <v>189</v>
      </c>
    </row>
    <row r="191" spans="1:8" ht="12.45" customHeight="1" x14ac:dyDescent="0.3">
      <c r="A191" s="2" t="s">
        <v>1313</v>
      </c>
      <c r="B191" s="2">
        <v>34.5</v>
      </c>
      <c r="C191" s="2">
        <v>1.93</v>
      </c>
      <c r="D191" s="2">
        <v>96.45</v>
      </c>
      <c r="E191" s="6">
        <f t="shared" si="15"/>
        <v>190</v>
      </c>
      <c r="F191" s="6">
        <f t="shared" si="16"/>
        <v>189</v>
      </c>
      <c r="G191" s="2">
        <f t="shared" si="17"/>
        <v>189.7</v>
      </c>
      <c r="H191" s="7">
        <v>190</v>
      </c>
    </row>
  </sheetData>
  <autoFilter ref="A1:H191" xr:uid="{A3D55694-94CC-404B-899E-7E610FB1AC57}">
    <sortState xmlns:xlrd2="http://schemas.microsoft.com/office/spreadsheetml/2017/richdata2" ref="A3:H191">
      <sortCondition ref="H2:H191"/>
    </sortState>
  </autoFilter>
  <sortState xmlns:xlrd2="http://schemas.microsoft.com/office/spreadsheetml/2017/richdata2" ref="A2:H192">
    <sortCondition ref="H1:H192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C4AD-2F02-482E-9D4A-CAF5DCD32352}">
  <sheetPr>
    <outlinePr summaryBelow="0" summaryRight="0"/>
  </sheetPr>
  <dimension ref="A1:H225"/>
  <sheetViews>
    <sheetView zoomScaleNormal="100" workbookViewId="0">
      <selection activeCell="K8" sqref="K8"/>
    </sheetView>
  </sheetViews>
  <sheetFormatPr defaultColWidth="8.6328125" defaultRowHeight="12.45" customHeight="1" x14ac:dyDescent="0.25"/>
  <cols>
    <col min="1" max="1" width="11.90625" style="1" customWidth="1"/>
    <col min="2" max="2" width="7.90625" style="1" customWidth="1"/>
    <col min="3" max="3" width="11.1796875" style="1" customWidth="1"/>
    <col min="4" max="4" width="12.36328125" style="1" customWidth="1"/>
    <col min="5" max="5" width="10.26953125" style="1" customWidth="1"/>
    <col min="6" max="6" width="9.08984375" style="1" customWidth="1"/>
    <col min="7" max="7" width="11.36328125" style="1" customWidth="1"/>
    <col min="8" max="8" width="7.6328125" style="1" customWidth="1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1314</v>
      </c>
      <c r="B2" s="2">
        <v>59.5</v>
      </c>
      <c r="C2" s="2">
        <v>4.82</v>
      </c>
      <c r="D2" s="2">
        <v>286.8</v>
      </c>
      <c r="E2" s="6">
        <f t="shared" ref="E2:E65" si="0">_xlfn.RANK.EQ(C2,C:C,0)</f>
        <v>2</v>
      </c>
      <c r="F2" s="6">
        <f t="shared" ref="F2:F65" si="1">_xlfn.RANK.EQ(D2,D:D,0)</f>
        <v>4</v>
      </c>
      <c r="G2" s="2">
        <f t="shared" ref="G2:G65" si="2">E2*0.7+F2*0.3</f>
        <v>2.5999999999999996</v>
      </c>
      <c r="H2" s="7">
        <v>1</v>
      </c>
    </row>
    <row r="3" spans="1:8" ht="12.45" customHeight="1" x14ac:dyDescent="0.3">
      <c r="A3" s="2" t="s">
        <v>1315</v>
      </c>
      <c r="B3" s="2">
        <v>60</v>
      </c>
      <c r="C3" s="2">
        <v>4.75</v>
      </c>
      <c r="D3" s="2">
        <v>284.85000000000002</v>
      </c>
      <c r="E3" s="6">
        <f t="shared" si="0"/>
        <v>4</v>
      </c>
      <c r="F3" s="6">
        <f t="shared" si="1"/>
        <v>6</v>
      </c>
      <c r="G3" s="2">
        <f t="shared" si="2"/>
        <v>4.5999999999999996</v>
      </c>
      <c r="H3" s="7">
        <v>2</v>
      </c>
    </row>
    <row r="4" spans="1:8" ht="12.45" customHeight="1" x14ac:dyDescent="0.3">
      <c r="A4" s="2" t="s">
        <v>1316</v>
      </c>
      <c r="B4" s="2">
        <v>63.5</v>
      </c>
      <c r="C4" s="2">
        <v>4.66</v>
      </c>
      <c r="D4" s="2">
        <v>290.95</v>
      </c>
      <c r="E4" s="6">
        <f t="shared" si="0"/>
        <v>8</v>
      </c>
      <c r="F4" s="6">
        <f t="shared" si="1"/>
        <v>1</v>
      </c>
      <c r="G4" s="2">
        <f t="shared" si="2"/>
        <v>5.8999999999999995</v>
      </c>
      <c r="H4" s="7">
        <v>3</v>
      </c>
    </row>
    <row r="5" spans="1:8" ht="12.45" customHeight="1" x14ac:dyDescent="0.3">
      <c r="A5" s="2" t="s">
        <v>1317</v>
      </c>
      <c r="B5" s="2">
        <v>58</v>
      </c>
      <c r="C5" s="2">
        <v>4.7699999999999996</v>
      </c>
      <c r="D5" s="2">
        <v>276.5</v>
      </c>
      <c r="E5" s="6">
        <f t="shared" si="0"/>
        <v>3</v>
      </c>
      <c r="F5" s="6">
        <f t="shared" si="1"/>
        <v>14</v>
      </c>
      <c r="G5" s="2">
        <f t="shared" si="2"/>
        <v>6.3</v>
      </c>
      <c r="H5" s="7">
        <v>4</v>
      </c>
    </row>
    <row r="6" spans="1:8" ht="12.45" customHeight="1" x14ac:dyDescent="0.3">
      <c r="A6" s="2" t="s">
        <v>1318</v>
      </c>
      <c r="B6" s="2">
        <v>59</v>
      </c>
      <c r="C6" s="2">
        <v>4.7300000000000004</v>
      </c>
      <c r="D6" s="2">
        <v>279.2</v>
      </c>
      <c r="E6" s="6">
        <f t="shared" si="0"/>
        <v>5</v>
      </c>
      <c r="F6" s="6">
        <f t="shared" si="1"/>
        <v>10</v>
      </c>
      <c r="G6" s="2">
        <f t="shared" si="2"/>
        <v>6.5</v>
      </c>
      <c r="H6" s="7">
        <v>5</v>
      </c>
    </row>
    <row r="7" spans="1:8" ht="12.45" customHeight="1" x14ac:dyDescent="0.3">
      <c r="A7" s="2" t="s">
        <v>1319</v>
      </c>
      <c r="B7" s="2">
        <v>55</v>
      </c>
      <c r="C7" s="2">
        <v>4.84</v>
      </c>
      <c r="D7" s="2">
        <v>266.10000000000002</v>
      </c>
      <c r="E7" s="6">
        <f t="shared" si="0"/>
        <v>1</v>
      </c>
      <c r="F7" s="6">
        <f t="shared" si="1"/>
        <v>28</v>
      </c>
      <c r="G7" s="2">
        <f t="shared" si="2"/>
        <v>9.1</v>
      </c>
      <c r="H7" s="7">
        <v>6</v>
      </c>
    </row>
    <row r="8" spans="1:8" ht="12.45" customHeight="1" x14ac:dyDescent="0.3">
      <c r="A8" s="2" t="s">
        <v>1320</v>
      </c>
      <c r="B8" s="2">
        <v>60</v>
      </c>
      <c r="C8" s="2">
        <v>4.6399999999999997</v>
      </c>
      <c r="D8" s="2">
        <v>278.3</v>
      </c>
      <c r="E8" s="6">
        <f t="shared" si="0"/>
        <v>9</v>
      </c>
      <c r="F8" s="6">
        <f t="shared" si="1"/>
        <v>11</v>
      </c>
      <c r="G8" s="2">
        <f t="shared" si="2"/>
        <v>9.6</v>
      </c>
      <c r="H8" s="7">
        <v>7</v>
      </c>
    </row>
    <row r="9" spans="1:8" ht="12.45" customHeight="1" x14ac:dyDescent="0.3">
      <c r="A9" s="2" t="s">
        <v>1321</v>
      </c>
      <c r="B9" s="2">
        <v>59.5</v>
      </c>
      <c r="C9" s="2">
        <v>4.6399999999999997</v>
      </c>
      <c r="D9" s="2">
        <v>275.95</v>
      </c>
      <c r="E9" s="6">
        <f t="shared" si="0"/>
        <v>9</v>
      </c>
      <c r="F9" s="6">
        <f t="shared" si="1"/>
        <v>15</v>
      </c>
      <c r="G9" s="2">
        <f t="shared" si="2"/>
        <v>10.8</v>
      </c>
      <c r="H9" s="7">
        <v>8</v>
      </c>
    </row>
    <row r="10" spans="1:8" ht="12.45" customHeight="1" x14ac:dyDescent="0.3">
      <c r="A10" s="2" t="s">
        <v>1322</v>
      </c>
      <c r="B10" s="2">
        <v>58</v>
      </c>
      <c r="C10" s="2">
        <v>4.67</v>
      </c>
      <c r="D10" s="2">
        <v>270.7</v>
      </c>
      <c r="E10" s="6">
        <f t="shared" si="0"/>
        <v>7</v>
      </c>
      <c r="F10" s="6">
        <f t="shared" si="1"/>
        <v>20</v>
      </c>
      <c r="G10" s="2">
        <f t="shared" si="2"/>
        <v>10.899999999999999</v>
      </c>
      <c r="H10" s="7">
        <v>9</v>
      </c>
    </row>
    <row r="11" spans="1:8" ht="12.45" customHeight="1" x14ac:dyDescent="0.3">
      <c r="A11" s="2" t="s">
        <v>1323</v>
      </c>
      <c r="B11" s="2">
        <v>60.5</v>
      </c>
      <c r="C11" s="2">
        <v>4.62</v>
      </c>
      <c r="D11" s="2">
        <v>279.8</v>
      </c>
      <c r="E11" s="6">
        <f t="shared" si="0"/>
        <v>12</v>
      </c>
      <c r="F11" s="6">
        <f t="shared" si="1"/>
        <v>9</v>
      </c>
      <c r="G11" s="2">
        <f t="shared" si="2"/>
        <v>11.099999999999998</v>
      </c>
      <c r="H11" s="7">
        <v>10</v>
      </c>
    </row>
    <row r="12" spans="1:8" ht="12.45" customHeight="1" x14ac:dyDescent="0.3">
      <c r="A12" s="2" t="s">
        <v>1324</v>
      </c>
      <c r="B12" s="2">
        <v>56.5</v>
      </c>
      <c r="C12" s="2">
        <v>4.68</v>
      </c>
      <c r="D12" s="2">
        <v>264.7</v>
      </c>
      <c r="E12" s="6">
        <f t="shared" si="0"/>
        <v>6</v>
      </c>
      <c r="F12" s="6">
        <f t="shared" si="1"/>
        <v>32</v>
      </c>
      <c r="G12" s="2">
        <f t="shared" si="2"/>
        <v>13.799999999999999</v>
      </c>
      <c r="H12" s="7">
        <v>11</v>
      </c>
    </row>
    <row r="13" spans="1:8" ht="12.45" customHeight="1" x14ac:dyDescent="0.3">
      <c r="A13" s="2" t="s">
        <v>1325</v>
      </c>
      <c r="B13" s="2">
        <v>59.5</v>
      </c>
      <c r="C13" s="2">
        <v>4.6100000000000003</v>
      </c>
      <c r="D13" s="2">
        <v>274.25</v>
      </c>
      <c r="E13" s="6">
        <f t="shared" si="0"/>
        <v>13</v>
      </c>
      <c r="F13" s="6">
        <f t="shared" si="1"/>
        <v>17</v>
      </c>
      <c r="G13" s="2">
        <f t="shared" si="2"/>
        <v>14.2</v>
      </c>
      <c r="H13" s="7">
        <v>12</v>
      </c>
    </row>
    <row r="14" spans="1:8" ht="12.45" customHeight="1" x14ac:dyDescent="0.3">
      <c r="A14" s="2" t="s">
        <v>1326</v>
      </c>
      <c r="B14" s="2">
        <v>57.5</v>
      </c>
      <c r="C14" s="2">
        <v>4.6399999999999997</v>
      </c>
      <c r="D14" s="2">
        <v>266.55</v>
      </c>
      <c r="E14" s="6">
        <f t="shared" si="0"/>
        <v>9</v>
      </c>
      <c r="F14" s="6">
        <f t="shared" si="1"/>
        <v>27</v>
      </c>
      <c r="G14" s="2">
        <f t="shared" si="2"/>
        <v>14.399999999999999</v>
      </c>
      <c r="H14" s="7">
        <v>13</v>
      </c>
    </row>
    <row r="15" spans="1:8" ht="12.45" customHeight="1" x14ac:dyDescent="0.3">
      <c r="A15" s="2" t="s">
        <v>1327</v>
      </c>
      <c r="B15" s="2">
        <v>58.5</v>
      </c>
      <c r="C15" s="2">
        <v>4.5599999999999996</v>
      </c>
      <c r="D15" s="2">
        <v>267</v>
      </c>
      <c r="E15" s="6">
        <f t="shared" si="0"/>
        <v>18</v>
      </c>
      <c r="F15" s="6">
        <f t="shared" si="1"/>
        <v>26</v>
      </c>
      <c r="G15" s="2">
        <f t="shared" si="2"/>
        <v>20.399999999999999</v>
      </c>
      <c r="H15" s="7">
        <v>14</v>
      </c>
    </row>
    <row r="16" spans="1:8" ht="12.45" customHeight="1" x14ac:dyDescent="0.3">
      <c r="A16" s="2" t="s">
        <v>1328</v>
      </c>
      <c r="B16" s="2">
        <v>63.5</v>
      </c>
      <c r="C16" s="2">
        <v>4.51</v>
      </c>
      <c r="D16" s="2">
        <v>286.2</v>
      </c>
      <c r="E16" s="6">
        <f t="shared" si="0"/>
        <v>27</v>
      </c>
      <c r="F16" s="6">
        <f t="shared" si="1"/>
        <v>5</v>
      </c>
      <c r="G16" s="2">
        <f t="shared" si="2"/>
        <v>20.399999999999999</v>
      </c>
      <c r="H16" s="7">
        <v>14</v>
      </c>
    </row>
    <row r="17" spans="1:8" ht="12.45" customHeight="1" x14ac:dyDescent="0.3">
      <c r="A17" s="2" t="s">
        <v>1329</v>
      </c>
      <c r="B17" s="2">
        <v>62.5</v>
      </c>
      <c r="C17" s="2">
        <v>4.5</v>
      </c>
      <c r="D17" s="2">
        <v>281.5</v>
      </c>
      <c r="E17" s="6">
        <f t="shared" si="0"/>
        <v>28</v>
      </c>
      <c r="F17" s="6">
        <f t="shared" si="1"/>
        <v>8</v>
      </c>
      <c r="G17" s="2">
        <f t="shared" si="2"/>
        <v>21.999999999999996</v>
      </c>
      <c r="H17" s="7">
        <v>16</v>
      </c>
    </row>
    <row r="18" spans="1:8" ht="12.45" customHeight="1" x14ac:dyDescent="0.3">
      <c r="A18" s="2" t="s">
        <v>1330</v>
      </c>
      <c r="B18" s="2">
        <v>57</v>
      </c>
      <c r="C18" s="2">
        <v>4.58</v>
      </c>
      <c r="D18" s="2">
        <v>261.14999999999998</v>
      </c>
      <c r="E18" s="6">
        <f t="shared" si="0"/>
        <v>15</v>
      </c>
      <c r="F18" s="6">
        <f t="shared" si="1"/>
        <v>42</v>
      </c>
      <c r="G18" s="2">
        <f t="shared" si="2"/>
        <v>23.1</v>
      </c>
      <c r="H18" s="7">
        <v>17</v>
      </c>
    </row>
    <row r="19" spans="1:8" ht="12.45" customHeight="1" x14ac:dyDescent="0.3">
      <c r="A19" s="2" t="s">
        <v>1331</v>
      </c>
      <c r="B19" s="2">
        <v>64</v>
      </c>
      <c r="C19" s="2">
        <v>4.49</v>
      </c>
      <c r="D19" s="2">
        <v>287.05</v>
      </c>
      <c r="E19" s="6">
        <f t="shared" si="0"/>
        <v>32</v>
      </c>
      <c r="F19" s="6">
        <f t="shared" si="1"/>
        <v>3</v>
      </c>
      <c r="G19" s="2">
        <f t="shared" si="2"/>
        <v>23.299999999999997</v>
      </c>
      <c r="H19" s="7">
        <v>18</v>
      </c>
    </row>
    <row r="20" spans="1:8" ht="12.45" customHeight="1" x14ac:dyDescent="0.3">
      <c r="A20" s="2" t="s">
        <v>1332</v>
      </c>
      <c r="B20" s="2">
        <v>57.5</v>
      </c>
      <c r="C20" s="2">
        <v>4.5599999999999996</v>
      </c>
      <c r="D20" s="2">
        <v>262.2</v>
      </c>
      <c r="E20" s="6">
        <f t="shared" si="0"/>
        <v>18</v>
      </c>
      <c r="F20" s="6">
        <f t="shared" si="1"/>
        <v>39</v>
      </c>
      <c r="G20" s="2">
        <f t="shared" si="2"/>
        <v>24.299999999999997</v>
      </c>
      <c r="H20" s="7">
        <v>19</v>
      </c>
    </row>
    <row r="21" spans="1:8" ht="12.45" customHeight="1" x14ac:dyDescent="0.3">
      <c r="A21" s="2" t="s">
        <v>1333</v>
      </c>
      <c r="B21" s="2">
        <v>56</v>
      </c>
      <c r="C21" s="2">
        <v>4.5999999999999996</v>
      </c>
      <c r="D21" s="2">
        <v>257.8</v>
      </c>
      <c r="E21" s="6">
        <f t="shared" si="0"/>
        <v>14</v>
      </c>
      <c r="F21" s="6">
        <f t="shared" si="1"/>
        <v>50</v>
      </c>
      <c r="G21" s="2">
        <f t="shared" si="2"/>
        <v>24.799999999999997</v>
      </c>
      <c r="H21" s="7">
        <v>20</v>
      </c>
    </row>
    <row r="22" spans="1:8" ht="12.45" customHeight="1" x14ac:dyDescent="0.3">
      <c r="A22" s="2" t="s">
        <v>1334</v>
      </c>
      <c r="B22" s="2">
        <v>57.5</v>
      </c>
      <c r="C22" s="2">
        <v>4.55</v>
      </c>
      <c r="D22" s="2">
        <v>261.7</v>
      </c>
      <c r="E22" s="6">
        <f t="shared" si="0"/>
        <v>20</v>
      </c>
      <c r="F22" s="6">
        <f t="shared" si="1"/>
        <v>40</v>
      </c>
      <c r="G22" s="2">
        <f t="shared" si="2"/>
        <v>26</v>
      </c>
      <c r="H22" s="7">
        <v>21</v>
      </c>
    </row>
    <row r="23" spans="1:8" ht="12.45" customHeight="1" x14ac:dyDescent="0.3">
      <c r="A23" s="2" t="s">
        <v>1335</v>
      </c>
      <c r="B23" s="2">
        <v>56</v>
      </c>
      <c r="C23" s="2">
        <v>4.58</v>
      </c>
      <c r="D23" s="2">
        <v>256.5</v>
      </c>
      <c r="E23" s="6">
        <f t="shared" si="0"/>
        <v>15</v>
      </c>
      <c r="F23" s="6">
        <f t="shared" si="1"/>
        <v>54</v>
      </c>
      <c r="G23" s="2">
        <f t="shared" si="2"/>
        <v>26.7</v>
      </c>
      <c r="H23" s="7">
        <v>22</v>
      </c>
    </row>
    <row r="24" spans="1:8" ht="12.45" customHeight="1" x14ac:dyDescent="0.3">
      <c r="A24" s="2" t="s">
        <v>1336</v>
      </c>
      <c r="B24" s="2">
        <v>57.5</v>
      </c>
      <c r="C24" s="2">
        <v>4.54</v>
      </c>
      <c r="D24" s="2">
        <v>261.25</v>
      </c>
      <c r="E24" s="6">
        <f t="shared" si="0"/>
        <v>22</v>
      </c>
      <c r="F24" s="6">
        <f t="shared" si="1"/>
        <v>41</v>
      </c>
      <c r="G24" s="2">
        <f t="shared" si="2"/>
        <v>27.699999999999996</v>
      </c>
      <c r="H24" s="7">
        <v>23</v>
      </c>
    </row>
    <row r="25" spans="1:8" ht="12.45" customHeight="1" x14ac:dyDescent="0.3">
      <c r="A25" s="2" t="s">
        <v>1337</v>
      </c>
      <c r="B25" s="2">
        <v>57.5</v>
      </c>
      <c r="C25" s="2">
        <v>4.54</v>
      </c>
      <c r="D25" s="2">
        <v>260.95</v>
      </c>
      <c r="E25" s="6">
        <f t="shared" si="0"/>
        <v>22</v>
      </c>
      <c r="F25" s="6">
        <f t="shared" si="1"/>
        <v>44</v>
      </c>
      <c r="G25" s="2">
        <f t="shared" si="2"/>
        <v>28.599999999999998</v>
      </c>
      <c r="H25" s="7">
        <v>24</v>
      </c>
    </row>
    <row r="26" spans="1:8" ht="12.45" customHeight="1" x14ac:dyDescent="0.3">
      <c r="A26" s="2" t="s">
        <v>1338</v>
      </c>
      <c r="B26" s="2">
        <v>65</v>
      </c>
      <c r="C26" s="2">
        <v>4.4400000000000004</v>
      </c>
      <c r="D26" s="2">
        <v>288.45</v>
      </c>
      <c r="E26" s="6">
        <f t="shared" si="0"/>
        <v>43</v>
      </c>
      <c r="F26" s="6">
        <f t="shared" si="1"/>
        <v>2</v>
      </c>
      <c r="G26" s="2">
        <f t="shared" si="2"/>
        <v>30.7</v>
      </c>
      <c r="H26" s="7">
        <v>25</v>
      </c>
    </row>
    <row r="27" spans="1:8" ht="12.45" customHeight="1" x14ac:dyDescent="0.3">
      <c r="A27" s="2" t="s">
        <v>1339</v>
      </c>
      <c r="B27" s="2">
        <v>59</v>
      </c>
      <c r="C27" s="2">
        <v>4.49</v>
      </c>
      <c r="D27" s="2">
        <v>264.95</v>
      </c>
      <c r="E27" s="6">
        <f t="shared" si="0"/>
        <v>32</v>
      </c>
      <c r="F27" s="6">
        <f t="shared" si="1"/>
        <v>31</v>
      </c>
      <c r="G27" s="2">
        <f t="shared" si="2"/>
        <v>31.699999999999996</v>
      </c>
      <c r="H27" s="7">
        <v>26</v>
      </c>
    </row>
    <row r="28" spans="1:8" ht="12.45" customHeight="1" x14ac:dyDescent="0.3">
      <c r="A28" s="2" t="s">
        <v>1340</v>
      </c>
      <c r="B28" s="2">
        <v>60</v>
      </c>
      <c r="C28" s="2">
        <v>4.4800000000000004</v>
      </c>
      <c r="D28" s="2">
        <v>268.85000000000002</v>
      </c>
      <c r="E28" s="6">
        <f t="shared" si="0"/>
        <v>36</v>
      </c>
      <c r="F28" s="6">
        <f t="shared" si="1"/>
        <v>22</v>
      </c>
      <c r="G28" s="2">
        <f t="shared" si="2"/>
        <v>31.799999999999997</v>
      </c>
      <c r="H28" s="7">
        <v>27</v>
      </c>
    </row>
    <row r="29" spans="1:8" ht="12.45" customHeight="1" x14ac:dyDescent="0.3">
      <c r="A29" s="2" t="s">
        <v>1341</v>
      </c>
      <c r="B29" s="2">
        <v>58</v>
      </c>
      <c r="C29" s="2">
        <v>4.5</v>
      </c>
      <c r="D29" s="2">
        <v>261</v>
      </c>
      <c r="E29" s="6">
        <f t="shared" si="0"/>
        <v>28</v>
      </c>
      <c r="F29" s="6">
        <f t="shared" si="1"/>
        <v>43</v>
      </c>
      <c r="G29" s="2">
        <f t="shared" si="2"/>
        <v>32.5</v>
      </c>
      <c r="H29" s="7">
        <v>28</v>
      </c>
    </row>
    <row r="30" spans="1:8" ht="12.45" customHeight="1" x14ac:dyDescent="0.3">
      <c r="A30" s="2" t="s">
        <v>1342</v>
      </c>
      <c r="B30" s="2">
        <v>56</v>
      </c>
      <c r="C30" s="2">
        <v>4.54</v>
      </c>
      <c r="D30" s="2">
        <v>254.5</v>
      </c>
      <c r="E30" s="6">
        <f t="shared" si="0"/>
        <v>22</v>
      </c>
      <c r="F30" s="6">
        <f t="shared" si="1"/>
        <v>58</v>
      </c>
      <c r="G30" s="2">
        <f t="shared" si="2"/>
        <v>32.799999999999997</v>
      </c>
      <c r="H30" s="7">
        <v>29</v>
      </c>
    </row>
    <row r="31" spans="1:8" ht="12.45" customHeight="1" x14ac:dyDescent="0.3">
      <c r="A31" s="2" t="s">
        <v>1343</v>
      </c>
      <c r="B31" s="2">
        <v>57</v>
      </c>
      <c r="C31" s="2">
        <v>4.53</v>
      </c>
      <c r="D31" s="2">
        <v>258.45</v>
      </c>
      <c r="E31" s="6">
        <f t="shared" si="0"/>
        <v>26</v>
      </c>
      <c r="F31" s="6">
        <f t="shared" si="1"/>
        <v>49</v>
      </c>
      <c r="G31" s="2">
        <f t="shared" si="2"/>
        <v>32.9</v>
      </c>
      <c r="H31" s="7">
        <v>30</v>
      </c>
    </row>
    <row r="32" spans="1:8" ht="12.45" customHeight="1" x14ac:dyDescent="0.3">
      <c r="A32" s="2" t="s">
        <v>1344</v>
      </c>
      <c r="B32" s="2">
        <v>62</v>
      </c>
      <c r="C32" s="2">
        <v>4.45</v>
      </c>
      <c r="D32" s="2">
        <v>274.3</v>
      </c>
      <c r="E32" s="6">
        <f t="shared" si="0"/>
        <v>41</v>
      </c>
      <c r="F32" s="6">
        <f t="shared" si="1"/>
        <v>16</v>
      </c>
      <c r="G32" s="2">
        <f t="shared" si="2"/>
        <v>33.5</v>
      </c>
      <c r="H32" s="7">
        <v>31</v>
      </c>
    </row>
    <row r="33" spans="1:8" ht="12.45" customHeight="1" x14ac:dyDescent="0.3">
      <c r="A33" s="2" t="s">
        <v>1345</v>
      </c>
      <c r="B33" s="2">
        <v>62.5</v>
      </c>
      <c r="C33" s="2">
        <v>4.4400000000000004</v>
      </c>
      <c r="D33" s="2">
        <v>277.60000000000002</v>
      </c>
      <c r="E33" s="6">
        <f t="shared" si="0"/>
        <v>43</v>
      </c>
      <c r="F33" s="6">
        <f t="shared" si="1"/>
        <v>12</v>
      </c>
      <c r="G33" s="2">
        <f t="shared" si="2"/>
        <v>33.699999999999996</v>
      </c>
      <c r="H33" s="7">
        <v>32</v>
      </c>
    </row>
    <row r="34" spans="1:8" ht="12.45" customHeight="1" x14ac:dyDescent="0.3">
      <c r="A34" s="2" t="s">
        <v>1346</v>
      </c>
      <c r="B34" s="2">
        <v>54.5</v>
      </c>
      <c r="C34" s="2">
        <v>4.57</v>
      </c>
      <c r="D34" s="2">
        <v>248.85</v>
      </c>
      <c r="E34" s="6">
        <f t="shared" si="0"/>
        <v>17</v>
      </c>
      <c r="F34" s="6">
        <f t="shared" si="1"/>
        <v>74</v>
      </c>
      <c r="G34" s="2">
        <f t="shared" si="2"/>
        <v>34.099999999999994</v>
      </c>
      <c r="H34" s="7">
        <v>33</v>
      </c>
    </row>
    <row r="35" spans="1:8" ht="12.45" customHeight="1" x14ac:dyDescent="0.3">
      <c r="A35" s="2" t="s">
        <v>1347</v>
      </c>
      <c r="B35" s="2">
        <v>60</v>
      </c>
      <c r="C35" s="2">
        <v>4.45</v>
      </c>
      <c r="D35" s="2">
        <v>267.2</v>
      </c>
      <c r="E35" s="6">
        <f t="shared" si="0"/>
        <v>41</v>
      </c>
      <c r="F35" s="6">
        <f t="shared" si="1"/>
        <v>25</v>
      </c>
      <c r="G35" s="2">
        <f t="shared" si="2"/>
        <v>36.200000000000003</v>
      </c>
      <c r="H35" s="7">
        <v>34</v>
      </c>
    </row>
    <row r="36" spans="1:8" ht="12.45" customHeight="1" x14ac:dyDescent="0.3">
      <c r="A36" s="2" t="s">
        <v>1348</v>
      </c>
      <c r="B36" s="2">
        <v>54.5</v>
      </c>
      <c r="C36" s="2">
        <v>4.55</v>
      </c>
      <c r="D36" s="2">
        <v>248.15</v>
      </c>
      <c r="E36" s="6">
        <f t="shared" si="0"/>
        <v>20</v>
      </c>
      <c r="F36" s="6">
        <f t="shared" si="1"/>
        <v>77</v>
      </c>
      <c r="G36" s="2">
        <f t="shared" si="2"/>
        <v>37.099999999999994</v>
      </c>
      <c r="H36" s="7">
        <v>35</v>
      </c>
    </row>
    <row r="37" spans="1:8" ht="12.45" customHeight="1" x14ac:dyDescent="0.3">
      <c r="A37" s="2" t="s">
        <v>1349</v>
      </c>
      <c r="B37" s="2">
        <v>55</v>
      </c>
      <c r="C37" s="2">
        <v>4.54</v>
      </c>
      <c r="D37" s="2">
        <v>248.3</v>
      </c>
      <c r="E37" s="6">
        <f t="shared" si="0"/>
        <v>22</v>
      </c>
      <c r="F37" s="6">
        <f t="shared" si="1"/>
        <v>76</v>
      </c>
      <c r="G37" s="2">
        <f t="shared" si="2"/>
        <v>38.200000000000003</v>
      </c>
      <c r="H37" s="7">
        <v>36</v>
      </c>
    </row>
    <row r="38" spans="1:8" ht="12.45" customHeight="1" x14ac:dyDescent="0.3">
      <c r="A38" s="2" t="s">
        <v>1350</v>
      </c>
      <c r="B38" s="2">
        <v>59</v>
      </c>
      <c r="C38" s="2">
        <v>4.46</v>
      </c>
      <c r="D38" s="2">
        <v>262.95</v>
      </c>
      <c r="E38" s="6">
        <f t="shared" si="0"/>
        <v>39</v>
      </c>
      <c r="F38" s="6">
        <f t="shared" si="1"/>
        <v>37</v>
      </c>
      <c r="G38" s="2">
        <f t="shared" si="2"/>
        <v>38.4</v>
      </c>
      <c r="H38" s="7">
        <v>37</v>
      </c>
    </row>
    <row r="39" spans="1:8" ht="12.45" customHeight="1" x14ac:dyDescent="0.3">
      <c r="A39" s="2" t="s">
        <v>1351</v>
      </c>
      <c r="B39" s="2">
        <v>57</v>
      </c>
      <c r="C39" s="2">
        <v>4.49</v>
      </c>
      <c r="D39" s="2">
        <v>255.75</v>
      </c>
      <c r="E39" s="6">
        <f t="shared" si="0"/>
        <v>32</v>
      </c>
      <c r="F39" s="6">
        <f t="shared" si="1"/>
        <v>55</v>
      </c>
      <c r="G39" s="2">
        <f t="shared" si="2"/>
        <v>38.9</v>
      </c>
      <c r="H39" s="7">
        <v>38</v>
      </c>
    </row>
    <row r="40" spans="1:8" ht="12.45" customHeight="1" x14ac:dyDescent="0.3">
      <c r="A40" s="2" t="s">
        <v>1352</v>
      </c>
      <c r="B40" s="2">
        <v>56</v>
      </c>
      <c r="C40" s="2">
        <v>4.5</v>
      </c>
      <c r="D40" s="2">
        <v>251.75</v>
      </c>
      <c r="E40" s="6">
        <f t="shared" si="0"/>
        <v>28</v>
      </c>
      <c r="F40" s="6">
        <f t="shared" si="1"/>
        <v>66</v>
      </c>
      <c r="G40" s="2">
        <f t="shared" si="2"/>
        <v>39.4</v>
      </c>
      <c r="H40" s="7">
        <v>39</v>
      </c>
    </row>
    <row r="41" spans="1:8" ht="12.45" customHeight="1" x14ac:dyDescent="0.3">
      <c r="A41" s="2" t="s">
        <v>1353</v>
      </c>
      <c r="B41" s="2">
        <v>61</v>
      </c>
      <c r="C41" s="2">
        <v>4.42</v>
      </c>
      <c r="D41" s="2">
        <v>269.85000000000002</v>
      </c>
      <c r="E41" s="6">
        <f t="shared" si="0"/>
        <v>48</v>
      </c>
      <c r="F41" s="6">
        <f t="shared" si="1"/>
        <v>21</v>
      </c>
      <c r="G41" s="2">
        <f t="shared" si="2"/>
        <v>39.899999999999991</v>
      </c>
      <c r="H41" s="7">
        <v>40</v>
      </c>
    </row>
    <row r="42" spans="1:8" ht="12.45" customHeight="1" x14ac:dyDescent="0.3">
      <c r="A42" s="2" t="s">
        <v>1354</v>
      </c>
      <c r="B42" s="2">
        <v>63</v>
      </c>
      <c r="C42" s="2">
        <v>4.4000000000000004</v>
      </c>
      <c r="D42" s="2">
        <v>277.45</v>
      </c>
      <c r="E42" s="6">
        <f t="shared" si="0"/>
        <v>55</v>
      </c>
      <c r="F42" s="6">
        <f t="shared" si="1"/>
        <v>13</v>
      </c>
      <c r="G42" s="2">
        <f t="shared" si="2"/>
        <v>42.4</v>
      </c>
      <c r="H42" s="7">
        <v>41</v>
      </c>
    </row>
    <row r="43" spans="1:8" ht="12.45" customHeight="1" x14ac:dyDescent="0.3">
      <c r="A43" s="2" t="s">
        <v>1355</v>
      </c>
      <c r="B43" s="2">
        <v>60</v>
      </c>
      <c r="C43" s="2">
        <v>4.42</v>
      </c>
      <c r="D43" s="2">
        <v>265.39999999999998</v>
      </c>
      <c r="E43" s="6">
        <f t="shared" si="0"/>
        <v>48</v>
      </c>
      <c r="F43" s="6">
        <f t="shared" si="1"/>
        <v>30</v>
      </c>
      <c r="G43" s="2">
        <f t="shared" si="2"/>
        <v>42.599999999999994</v>
      </c>
      <c r="H43" s="7">
        <v>42</v>
      </c>
    </row>
    <row r="44" spans="1:8" ht="12.45" customHeight="1" x14ac:dyDescent="0.3">
      <c r="A44" s="2" t="s">
        <v>1356</v>
      </c>
      <c r="B44" s="2">
        <v>55</v>
      </c>
      <c r="C44" s="2">
        <v>4.5</v>
      </c>
      <c r="D44" s="2">
        <v>247.5</v>
      </c>
      <c r="E44" s="6">
        <f t="shared" si="0"/>
        <v>28</v>
      </c>
      <c r="F44" s="6">
        <f t="shared" si="1"/>
        <v>81</v>
      </c>
      <c r="G44" s="2">
        <f t="shared" si="2"/>
        <v>43.9</v>
      </c>
      <c r="H44" s="7">
        <v>43</v>
      </c>
    </row>
    <row r="45" spans="1:8" ht="12.45" customHeight="1" x14ac:dyDescent="0.3">
      <c r="A45" s="2" t="s">
        <v>1357</v>
      </c>
      <c r="B45" s="2">
        <v>61.5</v>
      </c>
      <c r="C45" s="2">
        <v>4.4000000000000004</v>
      </c>
      <c r="D45" s="2">
        <v>270.8</v>
      </c>
      <c r="E45" s="6">
        <f t="shared" si="0"/>
        <v>55</v>
      </c>
      <c r="F45" s="6">
        <f t="shared" si="1"/>
        <v>19</v>
      </c>
      <c r="G45" s="2">
        <f t="shared" si="2"/>
        <v>44.2</v>
      </c>
      <c r="H45" s="7">
        <v>44</v>
      </c>
    </row>
    <row r="46" spans="1:8" ht="12.45" customHeight="1" x14ac:dyDescent="0.3">
      <c r="A46" s="2" t="s">
        <v>1358</v>
      </c>
      <c r="B46" s="2">
        <v>65</v>
      </c>
      <c r="C46" s="2">
        <v>4.38</v>
      </c>
      <c r="D46" s="2">
        <v>284.64999999999998</v>
      </c>
      <c r="E46" s="6">
        <f t="shared" si="0"/>
        <v>63</v>
      </c>
      <c r="F46" s="6">
        <f t="shared" si="1"/>
        <v>7</v>
      </c>
      <c r="G46" s="2">
        <f t="shared" si="2"/>
        <v>46.199999999999996</v>
      </c>
      <c r="H46" s="7">
        <v>45</v>
      </c>
    </row>
    <row r="47" spans="1:8" ht="12.45" customHeight="1" x14ac:dyDescent="0.3">
      <c r="A47" s="2" t="s">
        <v>1359</v>
      </c>
      <c r="B47" s="2">
        <v>60</v>
      </c>
      <c r="C47" s="2">
        <v>4.4000000000000004</v>
      </c>
      <c r="D47" s="2">
        <v>263.89999999999998</v>
      </c>
      <c r="E47" s="6">
        <f t="shared" si="0"/>
        <v>55</v>
      </c>
      <c r="F47" s="6">
        <f t="shared" si="1"/>
        <v>33</v>
      </c>
      <c r="G47" s="2">
        <f t="shared" si="2"/>
        <v>48.4</v>
      </c>
      <c r="H47" s="7">
        <v>46</v>
      </c>
    </row>
    <row r="48" spans="1:8" ht="12.45" customHeight="1" x14ac:dyDescent="0.3">
      <c r="A48" s="2" t="s">
        <v>1360</v>
      </c>
      <c r="B48" s="2">
        <v>56</v>
      </c>
      <c r="C48" s="2">
        <v>4.46</v>
      </c>
      <c r="D48" s="2">
        <v>249.95</v>
      </c>
      <c r="E48" s="6">
        <f t="shared" si="0"/>
        <v>39</v>
      </c>
      <c r="F48" s="6">
        <f t="shared" si="1"/>
        <v>71</v>
      </c>
      <c r="G48" s="2">
        <f t="shared" si="2"/>
        <v>48.599999999999994</v>
      </c>
      <c r="H48" s="7">
        <v>47</v>
      </c>
    </row>
    <row r="49" spans="1:8" ht="12.45" customHeight="1" x14ac:dyDescent="0.3">
      <c r="A49" s="2" t="s">
        <v>1361</v>
      </c>
      <c r="B49" s="2">
        <v>62</v>
      </c>
      <c r="C49" s="2">
        <v>4.3899999999999997</v>
      </c>
      <c r="D49" s="2">
        <v>272.35000000000002</v>
      </c>
      <c r="E49" s="6">
        <f t="shared" si="0"/>
        <v>62</v>
      </c>
      <c r="F49" s="6">
        <f t="shared" si="1"/>
        <v>18</v>
      </c>
      <c r="G49" s="2">
        <f t="shared" si="2"/>
        <v>48.8</v>
      </c>
      <c r="H49" s="7">
        <v>48</v>
      </c>
    </row>
    <row r="50" spans="1:8" ht="12.45" customHeight="1" x14ac:dyDescent="0.3">
      <c r="A50" s="2" t="s">
        <v>1362</v>
      </c>
      <c r="B50" s="2">
        <v>57</v>
      </c>
      <c r="C50" s="2">
        <v>4.43</v>
      </c>
      <c r="D50" s="2">
        <v>252.3</v>
      </c>
      <c r="E50" s="6">
        <f t="shared" si="0"/>
        <v>45</v>
      </c>
      <c r="F50" s="6">
        <f t="shared" si="1"/>
        <v>65</v>
      </c>
      <c r="G50" s="2">
        <f t="shared" si="2"/>
        <v>51</v>
      </c>
      <c r="H50" s="7">
        <v>49</v>
      </c>
    </row>
    <row r="51" spans="1:8" ht="12.45" customHeight="1" x14ac:dyDescent="0.3">
      <c r="A51" s="2" t="s">
        <v>1363</v>
      </c>
      <c r="B51" s="2">
        <v>57.5</v>
      </c>
      <c r="C51" s="2">
        <v>4.42</v>
      </c>
      <c r="D51" s="2">
        <v>254</v>
      </c>
      <c r="E51" s="6">
        <f t="shared" si="0"/>
        <v>48</v>
      </c>
      <c r="F51" s="6">
        <f t="shared" si="1"/>
        <v>59</v>
      </c>
      <c r="G51" s="2">
        <f t="shared" si="2"/>
        <v>51.3</v>
      </c>
      <c r="H51" s="7">
        <v>50</v>
      </c>
    </row>
    <row r="52" spans="1:8" ht="12.45" customHeight="1" x14ac:dyDescent="0.3">
      <c r="A52" s="2" t="s">
        <v>1364</v>
      </c>
      <c r="B52" s="2">
        <v>54</v>
      </c>
      <c r="C52" s="2">
        <v>4.49</v>
      </c>
      <c r="D52" s="2">
        <v>242.55</v>
      </c>
      <c r="E52" s="6">
        <f t="shared" si="0"/>
        <v>32</v>
      </c>
      <c r="F52" s="6">
        <f t="shared" si="1"/>
        <v>97</v>
      </c>
      <c r="G52" s="2">
        <f t="shared" si="2"/>
        <v>51.5</v>
      </c>
      <c r="H52" s="7">
        <v>51</v>
      </c>
    </row>
    <row r="53" spans="1:8" ht="12.45" customHeight="1" x14ac:dyDescent="0.3">
      <c r="A53" s="2" t="s">
        <v>1365</v>
      </c>
      <c r="B53" s="2">
        <v>55</v>
      </c>
      <c r="C53" s="2">
        <v>4.47</v>
      </c>
      <c r="D53" s="2">
        <v>245.85</v>
      </c>
      <c r="E53" s="6">
        <f t="shared" si="0"/>
        <v>38</v>
      </c>
      <c r="F53" s="6">
        <f t="shared" si="1"/>
        <v>85</v>
      </c>
      <c r="G53" s="2">
        <f t="shared" si="2"/>
        <v>52.099999999999994</v>
      </c>
      <c r="H53" s="7">
        <v>52</v>
      </c>
    </row>
    <row r="54" spans="1:8" ht="12.45" customHeight="1" x14ac:dyDescent="0.3">
      <c r="A54" s="2" t="s">
        <v>1366</v>
      </c>
      <c r="B54" s="2">
        <v>63</v>
      </c>
      <c r="C54" s="2">
        <v>4.3600000000000003</v>
      </c>
      <c r="D54" s="2">
        <v>268.35000000000002</v>
      </c>
      <c r="E54" s="6">
        <f t="shared" si="0"/>
        <v>65</v>
      </c>
      <c r="F54" s="6">
        <f t="shared" si="1"/>
        <v>24</v>
      </c>
      <c r="G54" s="2">
        <f t="shared" si="2"/>
        <v>52.7</v>
      </c>
      <c r="H54" s="7">
        <v>53</v>
      </c>
    </row>
    <row r="55" spans="1:8" ht="12.45" customHeight="1" x14ac:dyDescent="0.3">
      <c r="A55" s="2" t="s">
        <v>1367</v>
      </c>
      <c r="B55" s="2">
        <v>58.5</v>
      </c>
      <c r="C55" s="2">
        <v>4.4000000000000004</v>
      </c>
      <c r="D55" s="2">
        <v>257.39999999999998</v>
      </c>
      <c r="E55" s="6">
        <f t="shared" si="0"/>
        <v>55</v>
      </c>
      <c r="F55" s="6">
        <f t="shared" si="1"/>
        <v>52</v>
      </c>
      <c r="G55" s="2">
        <f t="shared" si="2"/>
        <v>54.1</v>
      </c>
      <c r="H55" s="7">
        <v>54</v>
      </c>
    </row>
    <row r="56" spans="1:8" ht="12.45" customHeight="1" x14ac:dyDescent="0.3">
      <c r="A56" s="2" t="s">
        <v>1368</v>
      </c>
      <c r="B56" s="2">
        <v>57.5</v>
      </c>
      <c r="C56" s="2">
        <v>4.41</v>
      </c>
      <c r="D56" s="2">
        <v>253.85</v>
      </c>
      <c r="E56" s="6">
        <f t="shared" si="0"/>
        <v>53</v>
      </c>
      <c r="F56" s="6">
        <f t="shared" si="1"/>
        <v>60</v>
      </c>
      <c r="G56" s="2">
        <f t="shared" si="2"/>
        <v>55.099999999999994</v>
      </c>
      <c r="H56" s="7">
        <v>55</v>
      </c>
    </row>
    <row r="57" spans="1:8" ht="12.45" customHeight="1" x14ac:dyDescent="0.3">
      <c r="A57" s="2" t="s">
        <v>1369</v>
      </c>
      <c r="B57" s="2">
        <v>56.5</v>
      </c>
      <c r="C57" s="2">
        <v>4.42</v>
      </c>
      <c r="D57" s="2">
        <v>249.9</v>
      </c>
      <c r="E57" s="6">
        <f t="shared" si="0"/>
        <v>48</v>
      </c>
      <c r="F57" s="6">
        <f t="shared" si="1"/>
        <v>72</v>
      </c>
      <c r="G57" s="2">
        <f t="shared" si="2"/>
        <v>55.199999999999989</v>
      </c>
      <c r="H57" s="7">
        <v>56</v>
      </c>
    </row>
    <row r="58" spans="1:8" ht="12.45" customHeight="1" x14ac:dyDescent="0.3">
      <c r="A58" s="2" t="s">
        <v>1370</v>
      </c>
      <c r="B58" s="2">
        <v>58</v>
      </c>
      <c r="C58" s="2">
        <v>4.4000000000000004</v>
      </c>
      <c r="D58" s="2">
        <v>255.2</v>
      </c>
      <c r="E58" s="6">
        <f t="shared" si="0"/>
        <v>55</v>
      </c>
      <c r="F58" s="6">
        <f t="shared" si="1"/>
        <v>57</v>
      </c>
      <c r="G58" s="2">
        <f t="shared" si="2"/>
        <v>55.599999999999994</v>
      </c>
      <c r="H58" s="7">
        <v>57</v>
      </c>
    </row>
    <row r="59" spans="1:8" ht="12.45" customHeight="1" x14ac:dyDescent="0.3">
      <c r="A59" s="2" t="s">
        <v>1371</v>
      </c>
      <c r="B59" s="2">
        <v>54</v>
      </c>
      <c r="C59" s="2">
        <v>4.4800000000000004</v>
      </c>
      <c r="D59" s="2">
        <v>241.65</v>
      </c>
      <c r="E59" s="6">
        <f t="shared" si="0"/>
        <v>36</v>
      </c>
      <c r="F59" s="6">
        <f t="shared" si="1"/>
        <v>102</v>
      </c>
      <c r="G59" s="2">
        <f t="shared" si="2"/>
        <v>55.8</v>
      </c>
      <c r="H59" s="7">
        <v>58</v>
      </c>
    </row>
    <row r="60" spans="1:8" ht="12.45" customHeight="1" x14ac:dyDescent="0.3">
      <c r="A60" s="2" t="s">
        <v>1372</v>
      </c>
      <c r="B60" s="2">
        <v>57.5</v>
      </c>
      <c r="C60" s="2">
        <v>4.4000000000000004</v>
      </c>
      <c r="D60" s="2">
        <v>252.9</v>
      </c>
      <c r="E60" s="6">
        <f t="shared" si="0"/>
        <v>55</v>
      </c>
      <c r="F60" s="6">
        <f t="shared" si="1"/>
        <v>63</v>
      </c>
      <c r="G60" s="2">
        <f t="shared" si="2"/>
        <v>57.4</v>
      </c>
      <c r="H60" s="7">
        <v>59</v>
      </c>
    </row>
    <row r="61" spans="1:8" ht="12.45" customHeight="1" x14ac:dyDescent="0.3">
      <c r="A61" s="2" t="s">
        <v>1373</v>
      </c>
      <c r="B61" s="2">
        <v>55</v>
      </c>
      <c r="C61" s="2">
        <v>4.43</v>
      </c>
      <c r="D61" s="2">
        <v>243.8</v>
      </c>
      <c r="E61" s="6">
        <f t="shared" si="0"/>
        <v>45</v>
      </c>
      <c r="F61" s="6">
        <f t="shared" si="1"/>
        <v>89</v>
      </c>
      <c r="G61" s="2">
        <f t="shared" si="2"/>
        <v>58.199999999999996</v>
      </c>
      <c r="H61" s="7">
        <v>60</v>
      </c>
    </row>
    <row r="62" spans="1:8" ht="12.45" customHeight="1" x14ac:dyDescent="0.3">
      <c r="A62" s="2" t="s">
        <v>1374</v>
      </c>
      <c r="B62" s="2">
        <v>60</v>
      </c>
      <c r="C62" s="2">
        <v>4.34</v>
      </c>
      <c r="D62" s="2">
        <v>260.60000000000002</v>
      </c>
      <c r="E62" s="6">
        <f t="shared" si="0"/>
        <v>68</v>
      </c>
      <c r="F62" s="6">
        <f t="shared" si="1"/>
        <v>45</v>
      </c>
      <c r="G62" s="2">
        <f t="shared" si="2"/>
        <v>61.099999999999994</v>
      </c>
      <c r="H62" s="7">
        <v>61</v>
      </c>
    </row>
    <row r="63" spans="1:8" ht="12.45" customHeight="1" x14ac:dyDescent="0.3">
      <c r="A63" s="2" t="s">
        <v>1375</v>
      </c>
      <c r="B63" s="2">
        <v>56</v>
      </c>
      <c r="C63" s="2">
        <v>4.41</v>
      </c>
      <c r="D63" s="2">
        <v>247.1</v>
      </c>
      <c r="E63" s="6">
        <f t="shared" si="0"/>
        <v>53</v>
      </c>
      <c r="F63" s="6">
        <f t="shared" si="1"/>
        <v>83</v>
      </c>
      <c r="G63" s="2">
        <f t="shared" si="2"/>
        <v>61.999999999999993</v>
      </c>
      <c r="H63" s="7">
        <v>62</v>
      </c>
    </row>
    <row r="64" spans="1:8" ht="12.45" customHeight="1" x14ac:dyDescent="0.3">
      <c r="A64" s="2" t="s">
        <v>1376</v>
      </c>
      <c r="B64" s="2">
        <v>55</v>
      </c>
      <c r="C64" s="2">
        <v>4.42</v>
      </c>
      <c r="D64" s="2">
        <v>243.3</v>
      </c>
      <c r="E64" s="6">
        <f t="shared" si="0"/>
        <v>48</v>
      </c>
      <c r="F64" s="6">
        <f t="shared" si="1"/>
        <v>95</v>
      </c>
      <c r="G64" s="2">
        <f t="shared" si="2"/>
        <v>62.099999999999994</v>
      </c>
      <c r="H64" s="7">
        <v>63</v>
      </c>
    </row>
    <row r="65" spans="1:8" ht="12.45" customHeight="1" x14ac:dyDescent="0.3">
      <c r="A65" s="2" t="s">
        <v>1377</v>
      </c>
      <c r="B65" s="2">
        <v>54.5</v>
      </c>
      <c r="C65" s="2">
        <v>4.43</v>
      </c>
      <c r="D65" s="2">
        <v>241.5</v>
      </c>
      <c r="E65" s="6">
        <f t="shared" si="0"/>
        <v>45</v>
      </c>
      <c r="F65" s="6">
        <f t="shared" si="1"/>
        <v>103</v>
      </c>
      <c r="G65" s="2">
        <f t="shared" si="2"/>
        <v>62.399999999999991</v>
      </c>
      <c r="H65" s="7">
        <v>64</v>
      </c>
    </row>
    <row r="66" spans="1:8" ht="12.45" customHeight="1" x14ac:dyDescent="0.3">
      <c r="A66" s="2" t="s">
        <v>1378</v>
      </c>
      <c r="B66" s="2">
        <v>61</v>
      </c>
      <c r="C66" s="2">
        <v>4.32</v>
      </c>
      <c r="D66" s="2">
        <v>263.35000000000002</v>
      </c>
      <c r="E66" s="6">
        <f t="shared" ref="E66:E129" si="3">_xlfn.RANK.EQ(C66,C:C,0)</f>
        <v>75</v>
      </c>
      <c r="F66" s="6">
        <f t="shared" ref="F66:F129" si="4">_xlfn.RANK.EQ(D66,D:D,0)</f>
        <v>35</v>
      </c>
      <c r="G66" s="2">
        <f t="shared" ref="G66:G129" si="5">E66*0.7+F66*0.3</f>
        <v>63</v>
      </c>
      <c r="H66" s="7">
        <v>65</v>
      </c>
    </row>
    <row r="67" spans="1:8" ht="12.45" customHeight="1" x14ac:dyDescent="0.3">
      <c r="A67" s="2" t="s">
        <v>1379</v>
      </c>
      <c r="B67" s="2">
        <v>62</v>
      </c>
      <c r="C67" s="2">
        <v>4.29</v>
      </c>
      <c r="D67" s="2">
        <v>265.8</v>
      </c>
      <c r="E67" s="6">
        <f t="shared" si="3"/>
        <v>82</v>
      </c>
      <c r="F67" s="6">
        <f t="shared" si="4"/>
        <v>29</v>
      </c>
      <c r="G67" s="2">
        <f t="shared" si="5"/>
        <v>66.099999999999994</v>
      </c>
      <c r="H67" s="7">
        <v>66</v>
      </c>
    </row>
    <row r="68" spans="1:8" ht="12.45" customHeight="1" x14ac:dyDescent="0.3">
      <c r="A68" s="2" t="s">
        <v>1380</v>
      </c>
      <c r="B68" s="2">
        <v>60</v>
      </c>
      <c r="C68" s="2">
        <v>4.32</v>
      </c>
      <c r="D68" s="2">
        <v>259.25</v>
      </c>
      <c r="E68" s="6">
        <f t="shared" si="3"/>
        <v>75</v>
      </c>
      <c r="F68" s="6">
        <f t="shared" si="4"/>
        <v>47</v>
      </c>
      <c r="G68" s="2">
        <f t="shared" si="5"/>
        <v>66.599999999999994</v>
      </c>
      <c r="H68" s="7">
        <v>67</v>
      </c>
    </row>
    <row r="69" spans="1:8" ht="12.45" customHeight="1" x14ac:dyDescent="0.3">
      <c r="A69" s="2" t="s">
        <v>1381</v>
      </c>
      <c r="B69" s="2">
        <v>62</v>
      </c>
      <c r="C69" s="2">
        <v>4.3099999999999996</v>
      </c>
      <c r="D69" s="2">
        <v>262.64999999999998</v>
      </c>
      <c r="E69" s="6">
        <f t="shared" si="3"/>
        <v>80</v>
      </c>
      <c r="F69" s="6">
        <f t="shared" si="4"/>
        <v>38</v>
      </c>
      <c r="G69" s="2">
        <f t="shared" si="5"/>
        <v>67.400000000000006</v>
      </c>
      <c r="H69" s="7">
        <v>68</v>
      </c>
    </row>
    <row r="70" spans="1:8" ht="12.45" customHeight="1" x14ac:dyDescent="0.3">
      <c r="A70" s="2" t="s">
        <v>1382</v>
      </c>
      <c r="B70" s="2">
        <v>58</v>
      </c>
      <c r="C70" s="2">
        <v>4.34</v>
      </c>
      <c r="D70" s="2">
        <v>251.45</v>
      </c>
      <c r="E70" s="6">
        <f t="shared" si="3"/>
        <v>68</v>
      </c>
      <c r="F70" s="6">
        <f t="shared" si="4"/>
        <v>68</v>
      </c>
      <c r="G70" s="2">
        <f t="shared" si="5"/>
        <v>68</v>
      </c>
      <c r="H70" s="7">
        <v>69</v>
      </c>
    </row>
    <row r="71" spans="1:8" ht="12.45" customHeight="1" x14ac:dyDescent="0.3">
      <c r="A71" s="2" t="s">
        <v>1383</v>
      </c>
      <c r="B71" s="2">
        <v>59.5</v>
      </c>
      <c r="C71" s="2">
        <v>4.32</v>
      </c>
      <c r="D71" s="2">
        <v>256.8</v>
      </c>
      <c r="E71" s="6">
        <f t="shared" si="3"/>
        <v>75</v>
      </c>
      <c r="F71" s="6">
        <f t="shared" si="4"/>
        <v>53</v>
      </c>
      <c r="G71" s="2">
        <f t="shared" si="5"/>
        <v>68.400000000000006</v>
      </c>
      <c r="H71" s="7">
        <v>70</v>
      </c>
    </row>
    <row r="72" spans="1:8" ht="12.45" customHeight="1" x14ac:dyDescent="0.3">
      <c r="A72" s="2" t="s">
        <v>1384</v>
      </c>
      <c r="B72" s="2">
        <v>55</v>
      </c>
      <c r="C72" s="2">
        <v>4.4000000000000004</v>
      </c>
      <c r="D72" s="2">
        <v>241.85</v>
      </c>
      <c r="E72" s="6">
        <f t="shared" si="3"/>
        <v>55</v>
      </c>
      <c r="F72" s="6">
        <f t="shared" si="4"/>
        <v>100</v>
      </c>
      <c r="G72" s="2">
        <f t="shared" si="5"/>
        <v>68.5</v>
      </c>
      <c r="H72" s="7">
        <v>71</v>
      </c>
    </row>
    <row r="73" spans="1:8" ht="12.45" customHeight="1" x14ac:dyDescent="0.3">
      <c r="A73" s="2" t="s">
        <v>1385</v>
      </c>
      <c r="B73" s="2">
        <v>63</v>
      </c>
      <c r="C73" s="2">
        <v>4.26</v>
      </c>
      <c r="D73" s="2">
        <v>268.39999999999998</v>
      </c>
      <c r="E73" s="6">
        <f t="shared" si="3"/>
        <v>88</v>
      </c>
      <c r="F73" s="6">
        <f t="shared" si="4"/>
        <v>23</v>
      </c>
      <c r="G73" s="2">
        <f t="shared" si="5"/>
        <v>68.5</v>
      </c>
      <c r="H73" s="7">
        <v>71</v>
      </c>
    </row>
    <row r="74" spans="1:8" ht="12.45" customHeight="1" x14ac:dyDescent="0.3">
      <c r="A74" s="2" t="s">
        <v>1386</v>
      </c>
      <c r="B74" s="2">
        <v>57.5</v>
      </c>
      <c r="C74" s="2">
        <v>4.34</v>
      </c>
      <c r="D74" s="2">
        <v>249.5</v>
      </c>
      <c r="E74" s="6">
        <f t="shared" si="3"/>
        <v>68</v>
      </c>
      <c r="F74" s="6">
        <f t="shared" si="4"/>
        <v>73</v>
      </c>
      <c r="G74" s="2">
        <f t="shared" si="5"/>
        <v>69.5</v>
      </c>
      <c r="H74" s="7">
        <v>73</v>
      </c>
    </row>
    <row r="75" spans="1:8" ht="12.45" customHeight="1" x14ac:dyDescent="0.3">
      <c r="A75" s="2" t="s">
        <v>1387</v>
      </c>
      <c r="B75" s="2">
        <v>57</v>
      </c>
      <c r="C75" s="2">
        <v>4.3499999999999996</v>
      </c>
      <c r="D75" s="2">
        <v>247.8</v>
      </c>
      <c r="E75" s="6">
        <f t="shared" si="3"/>
        <v>66</v>
      </c>
      <c r="F75" s="6">
        <f t="shared" si="4"/>
        <v>80</v>
      </c>
      <c r="G75" s="2">
        <f t="shared" si="5"/>
        <v>70.199999999999989</v>
      </c>
      <c r="H75" s="7">
        <v>74</v>
      </c>
    </row>
    <row r="76" spans="1:8" ht="12.45" customHeight="1" x14ac:dyDescent="0.3">
      <c r="A76" s="2" t="s">
        <v>1388</v>
      </c>
      <c r="B76" s="2">
        <v>60</v>
      </c>
      <c r="C76" s="2">
        <v>4.3</v>
      </c>
      <c r="D76" s="2">
        <v>257.8</v>
      </c>
      <c r="E76" s="6">
        <f t="shared" si="3"/>
        <v>81</v>
      </c>
      <c r="F76" s="6">
        <f t="shared" si="4"/>
        <v>50</v>
      </c>
      <c r="G76" s="2">
        <f t="shared" si="5"/>
        <v>71.699999999999989</v>
      </c>
      <c r="H76" s="7">
        <v>75</v>
      </c>
    </row>
    <row r="77" spans="1:8" ht="12.45" customHeight="1" x14ac:dyDescent="0.3">
      <c r="A77" s="2" t="s">
        <v>1389</v>
      </c>
      <c r="B77" s="2">
        <v>58</v>
      </c>
      <c r="C77" s="2">
        <v>4.33</v>
      </c>
      <c r="D77" s="2">
        <v>251.1</v>
      </c>
      <c r="E77" s="6">
        <f t="shared" si="3"/>
        <v>73</v>
      </c>
      <c r="F77" s="6">
        <f t="shared" si="4"/>
        <v>69</v>
      </c>
      <c r="G77" s="2">
        <f t="shared" si="5"/>
        <v>71.8</v>
      </c>
      <c r="H77" s="7">
        <v>76</v>
      </c>
    </row>
    <row r="78" spans="1:8" ht="12.45" customHeight="1" x14ac:dyDescent="0.3">
      <c r="A78" s="2" t="s">
        <v>1390</v>
      </c>
      <c r="B78" s="2">
        <v>58</v>
      </c>
      <c r="C78" s="2">
        <v>4.33</v>
      </c>
      <c r="D78" s="2">
        <v>251.05</v>
      </c>
      <c r="E78" s="6">
        <f t="shared" si="3"/>
        <v>73</v>
      </c>
      <c r="F78" s="6">
        <f t="shared" si="4"/>
        <v>70</v>
      </c>
      <c r="G78" s="2">
        <f t="shared" si="5"/>
        <v>72.099999999999994</v>
      </c>
      <c r="H78" s="7">
        <v>77</v>
      </c>
    </row>
    <row r="79" spans="1:8" ht="12.45" customHeight="1" x14ac:dyDescent="0.3">
      <c r="A79" s="2" t="s">
        <v>1391</v>
      </c>
      <c r="B79" s="2">
        <v>55</v>
      </c>
      <c r="C79" s="2">
        <v>4.38</v>
      </c>
      <c r="D79" s="2">
        <v>241.15</v>
      </c>
      <c r="E79" s="6">
        <f t="shared" si="3"/>
        <v>63</v>
      </c>
      <c r="F79" s="6">
        <f t="shared" si="4"/>
        <v>106</v>
      </c>
      <c r="G79" s="2">
        <f t="shared" si="5"/>
        <v>75.899999999999991</v>
      </c>
      <c r="H79" s="7">
        <v>78</v>
      </c>
    </row>
    <row r="80" spans="1:8" ht="12.45" customHeight="1" x14ac:dyDescent="0.3">
      <c r="A80" s="2" t="s">
        <v>1392</v>
      </c>
      <c r="B80" s="2">
        <v>62.5</v>
      </c>
      <c r="C80" s="2">
        <v>4.22</v>
      </c>
      <c r="D80" s="2">
        <v>263.75</v>
      </c>
      <c r="E80" s="6">
        <f t="shared" si="3"/>
        <v>94</v>
      </c>
      <c r="F80" s="6">
        <f t="shared" si="4"/>
        <v>34</v>
      </c>
      <c r="G80" s="2">
        <f t="shared" si="5"/>
        <v>76</v>
      </c>
      <c r="H80" s="7">
        <v>79</v>
      </c>
    </row>
    <row r="81" spans="1:8" ht="12.45" customHeight="1" x14ac:dyDescent="0.3">
      <c r="A81" s="2" t="s">
        <v>1393</v>
      </c>
      <c r="B81" s="2">
        <v>60</v>
      </c>
      <c r="C81" s="2">
        <v>4.26</v>
      </c>
      <c r="D81" s="2">
        <v>255.6</v>
      </c>
      <c r="E81" s="6">
        <f t="shared" si="3"/>
        <v>88</v>
      </c>
      <c r="F81" s="6">
        <f t="shared" si="4"/>
        <v>56</v>
      </c>
      <c r="G81" s="2">
        <f t="shared" si="5"/>
        <v>78.399999999999991</v>
      </c>
      <c r="H81" s="7">
        <v>80</v>
      </c>
    </row>
    <row r="82" spans="1:8" ht="12.45" customHeight="1" x14ac:dyDescent="0.3">
      <c r="A82" s="2" t="s">
        <v>1394</v>
      </c>
      <c r="B82" s="2">
        <v>56</v>
      </c>
      <c r="C82" s="2">
        <v>4.34</v>
      </c>
      <c r="D82" s="2">
        <v>241.5</v>
      </c>
      <c r="E82" s="6">
        <f t="shared" si="3"/>
        <v>68</v>
      </c>
      <c r="F82" s="6">
        <f t="shared" si="4"/>
        <v>103</v>
      </c>
      <c r="G82" s="2">
        <f t="shared" si="5"/>
        <v>78.5</v>
      </c>
      <c r="H82" s="7">
        <v>81</v>
      </c>
    </row>
    <row r="83" spans="1:8" ht="12.45" customHeight="1" x14ac:dyDescent="0.3">
      <c r="A83" s="2" t="s">
        <v>1395</v>
      </c>
      <c r="B83" s="2">
        <v>56.5</v>
      </c>
      <c r="C83" s="2">
        <v>4.32</v>
      </c>
      <c r="D83" s="2">
        <v>243.95</v>
      </c>
      <c r="E83" s="6">
        <f t="shared" si="3"/>
        <v>75</v>
      </c>
      <c r="F83" s="6">
        <f t="shared" si="4"/>
        <v>88</v>
      </c>
      <c r="G83" s="2">
        <f t="shared" si="5"/>
        <v>78.900000000000006</v>
      </c>
      <c r="H83" s="7">
        <v>82</v>
      </c>
    </row>
    <row r="84" spans="1:8" ht="12.45" customHeight="1" x14ac:dyDescent="0.3">
      <c r="A84" s="2" t="s">
        <v>1396</v>
      </c>
      <c r="B84" s="2">
        <v>55</v>
      </c>
      <c r="C84" s="2">
        <v>4.3499999999999996</v>
      </c>
      <c r="D84" s="2">
        <v>239.1</v>
      </c>
      <c r="E84" s="6">
        <f t="shared" si="3"/>
        <v>66</v>
      </c>
      <c r="F84" s="6">
        <f t="shared" si="4"/>
        <v>111</v>
      </c>
      <c r="G84" s="2">
        <f t="shared" si="5"/>
        <v>79.5</v>
      </c>
      <c r="H84" s="7">
        <v>83</v>
      </c>
    </row>
    <row r="85" spans="1:8" ht="12.45" customHeight="1" x14ac:dyDescent="0.3">
      <c r="A85" s="2" t="s">
        <v>1397</v>
      </c>
      <c r="B85" s="2">
        <v>58</v>
      </c>
      <c r="C85" s="2">
        <v>4.28</v>
      </c>
      <c r="D85" s="2">
        <v>248.4</v>
      </c>
      <c r="E85" s="6">
        <f t="shared" si="3"/>
        <v>83</v>
      </c>
      <c r="F85" s="6">
        <f t="shared" si="4"/>
        <v>75</v>
      </c>
      <c r="G85" s="2">
        <f t="shared" si="5"/>
        <v>80.599999999999994</v>
      </c>
      <c r="H85" s="7">
        <v>84</v>
      </c>
    </row>
    <row r="86" spans="1:8" ht="12.45" customHeight="1" x14ac:dyDescent="0.3">
      <c r="A86" s="2" t="s">
        <v>1398</v>
      </c>
      <c r="B86" s="2">
        <v>63</v>
      </c>
      <c r="C86" s="2">
        <v>4.18</v>
      </c>
      <c r="D86" s="2">
        <v>263.25</v>
      </c>
      <c r="E86" s="6">
        <f t="shared" si="3"/>
        <v>101</v>
      </c>
      <c r="F86" s="6">
        <f t="shared" si="4"/>
        <v>36</v>
      </c>
      <c r="G86" s="2">
        <f t="shared" si="5"/>
        <v>81.499999999999986</v>
      </c>
      <c r="H86" s="7">
        <v>85</v>
      </c>
    </row>
    <row r="87" spans="1:8" ht="12.45" customHeight="1" x14ac:dyDescent="0.3">
      <c r="A87" s="2" t="s">
        <v>1399</v>
      </c>
      <c r="B87" s="2">
        <v>56</v>
      </c>
      <c r="C87" s="2">
        <v>4.32</v>
      </c>
      <c r="D87" s="2">
        <v>242.15</v>
      </c>
      <c r="E87" s="6">
        <f t="shared" si="3"/>
        <v>75</v>
      </c>
      <c r="F87" s="6">
        <f t="shared" si="4"/>
        <v>99</v>
      </c>
      <c r="G87" s="2">
        <f t="shared" si="5"/>
        <v>82.2</v>
      </c>
      <c r="H87" s="7">
        <v>86</v>
      </c>
    </row>
    <row r="88" spans="1:8" ht="12.45" customHeight="1" x14ac:dyDescent="0.3">
      <c r="A88" s="2" t="s">
        <v>1401</v>
      </c>
      <c r="B88" s="2">
        <v>61.5</v>
      </c>
      <c r="C88" s="2">
        <v>4.21</v>
      </c>
      <c r="D88" s="2">
        <v>259</v>
      </c>
      <c r="E88" s="6">
        <f t="shared" si="3"/>
        <v>97</v>
      </c>
      <c r="F88" s="6">
        <f t="shared" si="4"/>
        <v>48</v>
      </c>
      <c r="G88" s="2">
        <f t="shared" si="5"/>
        <v>82.299999999999983</v>
      </c>
      <c r="H88" s="7">
        <v>87</v>
      </c>
    </row>
    <row r="89" spans="1:8" ht="12.45" customHeight="1" x14ac:dyDescent="0.3">
      <c r="A89" s="2" t="s">
        <v>1400</v>
      </c>
      <c r="B89" s="2">
        <v>59.5</v>
      </c>
      <c r="C89" s="2">
        <v>4.25</v>
      </c>
      <c r="D89" s="2">
        <v>253.15</v>
      </c>
      <c r="E89" s="6">
        <f t="shared" si="3"/>
        <v>91</v>
      </c>
      <c r="F89" s="6">
        <f t="shared" si="4"/>
        <v>62</v>
      </c>
      <c r="G89" s="2">
        <f t="shared" si="5"/>
        <v>82.3</v>
      </c>
      <c r="H89" s="7">
        <v>87</v>
      </c>
    </row>
    <row r="90" spans="1:8" ht="12.45" customHeight="1" x14ac:dyDescent="0.3">
      <c r="A90" s="2" t="s">
        <v>1402</v>
      </c>
      <c r="B90" s="2">
        <v>59.5</v>
      </c>
      <c r="C90" s="2">
        <v>4.2300000000000004</v>
      </c>
      <c r="D90" s="2">
        <v>251.7</v>
      </c>
      <c r="E90" s="6">
        <f t="shared" si="3"/>
        <v>93</v>
      </c>
      <c r="F90" s="6">
        <f t="shared" si="4"/>
        <v>67</v>
      </c>
      <c r="G90" s="2">
        <f t="shared" si="5"/>
        <v>85.199999999999989</v>
      </c>
      <c r="H90" s="7">
        <v>89</v>
      </c>
    </row>
    <row r="91" spans="1:8" ht="12.45" customHeight="1" x14ac:dyDescent="0.3">
      <c r="A91" s="2" t="s">
        <v>1403</v>
      </c>
      <c r="B91" s="2">
        <v>57</v>
      </c>
      <c r="C91" s="2">
        <v>4.28</v>
      </c>
      <c r="D91" s="2">
        <v>243.75</v>
      </c>
      <c r="E91" s="6">
        <f t="shared" si="3"/>
        <v>83</v>
      </c>
      <c r="F91" s="6">
        <f t="shared" si="4"/>
        <v>91</v>
      </c>
      <c r="G91" s="2">
        <f t="shared" si="5"/>
        <v>85.399999999999991</v>
      </c>
      <c r="H91" s="7">
        <v>90</v>
      </c>
    </row>
    <row r="92" spans="1:8" ht="12.45" customHeight="1" x14ac:dyDescent="0.3">
      <c r="A92" s="2" t="s">
        <v>1404</v>
      </c>
      <c r="B92" s="2">
        <v>57.5</v>
      </c>
      <c r="C92" s="2">
        <v>4.26</v>
      </c>
      <c r="D92" s="2">
        <v>245.1</v>
      </c>
      <c r="E92" s="6">
        <f t="shared" si="3"/>
        <v>88</v>
      </c>
      <c r="F92" s="6">
        <f t="shared" si="4"/>
        <v>86</v>
      </c>
      <c r="G92" s="2">
        <f t="shared" si="5"/>
        <v>87.399999999999991</v>
      </c>
      <c r="H92" s="7">
        <v>91</v>
      </c>
    </row>
    <row r="93" spans="1:8" ht="12.45" customHeight="1" x14ac:dyDescent="0.3">
      <c r="A93" s="2" t="s">
        <v>1405</v>
      </c>
      <c r="B93" s="2">
        <v>57.5</v>
      </c>
      <c r="C93" s="2">
        <v>4.24</v>
      </c>
      <c r="D93" s="2">
        <v>244.05</v>
      </c>
      <c r="E93" s="6">
        <f t="shared" si="3"/>
        <v>92</v>
      </c>
      <c r="F93" s="6">
        <f t="shared" si="4"/>
        <v>87</v>
      </c>
      <c r="G93" s="2">
        <f t="shared" si="5"/>
        <v>90.499999999999986</v>
      </c>
      <c r="H93" s="7">
        <v>92</v>
      </c>
    </row>
    <row r="94" spans="1:8" ht="12.45" customHeight="1" x14ac:dyDescent="0.3">
      <c r="A94" s="2" t="s">
        <v>1406</v>
      </c>
      <c r="B94" s="2">
        <v>52</v>
      </c>
      <c r="C94" s="2">
        <v>4.34</v>
      </c>
      <c r="D94" s="2">
        <v>225.55</v>
      </c>
      <c r="E94" s="6">
        <f t="shared" si="3"/>
        <v>68</v>
      </c>
      <c r="F94" s="6">
        <f t="shared" si="4"/>
        <v>144</v>
      </c>
      <c r="G94" s="2">
        <f t="shared" si="5"/>
        <v>90.799999999999983</v>
      </c>
      <c r="H94" s="7">
        <v>93</v>
      </c>
    </row>
    <row r="95" spans="1:8" ht="12.45" customHeight="1" x14ac:dyDescent="0.3">
      <c r="A95" s="2" t="s">
        <v>1407</v>
      </c>
      <c r="B95" s="2">
        <v>59</v>
      </c>
      <c r="C95" s="2">
        <v>4.1900000000000004</v>
      </c>
      <c r="D95" s="2">
        <v>247.4</v>
      </c>
      <c r="E95" s="6">
        <f t="shared" si="3"/>
        <v>98</v>
      </c>
      <c r="F95" s="6">
        <f t="shared" si="4"/>
        <v>82</v>
      </c>
      <c r="G95" s="2">
        <f t="shared" si="5"/>
        <v>93.199999999999989</v>
      </c>
      <c r="H95" s="7">
        <v>94</v>
      </c>
    </row>
    <row r="96" spans="1:8" ht="12.45" customHeight="1" x14ac:dyDescent="0.3">
      <c r="A96" s="2" t="s">
        <v>1408</v>
      </c>
      <c r="B96" s="2">
        <v>56</v>
      </c>
      <c r="C96" s="2">
        <v>4.2699999999999996</v>
      </c>
      <c r="D96" s="2">
        <v>239.25</v>
      </c>
      <c r="E96" s="6">
        <f t="shared" si="3"/>
        <v>86</v>
      </c>
      <c r="F96" s="6">
        <f t="shared" si="4"/>
        <v>110</v>
      </c>
      <c r="G96" s="2">
        <f t="shared" si="5"/>
        <v>93.199999999999989</v>
      </c>
      <c r="H96" s="7">
        <v>94</v>
      </c>
    </row>
    <row r="97" spans="1:8" ht="12.45" customHeight="1" x14ac:dyDescent="0.3">
      <c r="A97" s="2" t="s">
        <v>1409</v>
      </c>
      <c r="B97" s="2">
        <v>61</v>
      </c>
      <c r="C97" s="2">
        <v>4.1399999999999997</v>
      </c>
      <c r="D97" s="2">
        <v>252.35</v>
      </c>
      <c r="E97" s="6">
        <f t="shared" si="3"/>
        <v>108</v>
      </c>
      <c r="F97" s="6">
        <f t="shared" si="4"/>
        <v>64</v>
      </c>
      <c r="G97" s="2">
        <f t="shared" si="5"/>
        <v>94.8</v>
      </c>
      <c r="H97" s="7">
        <v>96</v>
      </c>
    </row>
    <row r="98" spans="1:8" ht="12.45" customHeight="1" x14ac:dyDescent="0.3">
      <c r="A98" s="2" t="s">
        <v>1410</v>
      </c>
      <c r="B98" s="2">
        <v>55.5</v>
      </c>
      <c r="C98" s="2">
        <v>4.2699999999999996</v>
      </c>
      <c r="D98" s="2">
        <v>236.8</v>
      </c>
      <c r="E98" s="6">
        <f t="shared" si="3"/>
        <v>86</v>
      </c>
      <c r="F98" s="6">
        <f t="shared" si="4"/>
        <v>116</v>
      </c>
      <c r="G98" s="2">
        <f t="shared" si="5"/>
        <v>95</v>
      </c>
      <c r="H98" s="7">
        <v>97</v>
      </c>
    </row>
    <row r="99" spans="1:8" ht="12.45" customHeight="1" x14ac:dyDescent="0.3">
      <c r="A99" s="2" t="s">
        <v>1411</v>
      </c>
      <c r="B99" s="2">
        <v>57</v>
      </c>
      <c r="C99" s="2">
        <v>4.22</v>
      </c>
      <c r="D99" s="2">
        <v>240.6</v>
      </c>
      <c r="E99" s="6">
        <f t="shared" si="3"/>
        <v>94</v>
      </c>
      <c r="F99" s="6">
        <f t="shared" si="4"/>
        <v>107</v>
      </c>
      <c r="G99" s="2">
        <f t="shared" si="5"/>
        <v>97.9</v>
      </c>
      <c r="H99" s="7">
        <v>98</v>
      </c>
    </row>
    <row r="100" spans="1:8" ht="12.45" customHeight="1" x14ac:dyDescent="0.3">
      <c r="A100" s="2" t="s">
        <v>1412</v>
      </c>
      <c r="B100" s="2">
        <v>64</v>
      </c>
      <c r="C100" s="2">
        <v>4.0599999999999996</v>
      </c>
      <c r="D100" s="2">
        <v>260.10000000000002</v>
      </c>
      <c r="E100" s="6">
        <f t="shared" si="3"/>
        <v>122</v>
      </c>
      <c r="F100" s="6">
        <f t="shared" si="4"/>
        <v>46</v>
      </c>
      <c r="G100" s="2">
        <f t="shared" si="5"/>
        <v>99.199999999999989</v>
      </c>
      <c r="H100" s="7">
        <v>99</v>
      </c>
    </row>
    <row r="101" spans="1:8" ht="12.45" customHeight="1" x14ac:dyDescent="0.3">
      <c r="A101" s="2" t="s">
        <v>1413</v>
      </c>
      <c r="B101" s="2">
        <v>58.5</v>
      </c>
      <c r="C101" s="2">
        <v>4.17</v>
      </c>
      <c r="D101" s="2">
        <v>243.75</v>
      </c>
      <c r="E101" s="6">
        <f t="shared" si="3"/>
        <v>103</v>
      </c>
      <c r="F101" s="6">
        <f t="shared" si="4"/>
        <v>91</v>
      </c>
      <c r="G101" s="2">
        <f t="shared" si="5"/>
        <v>99.399999999999991</v>
      </c>
      <c r="H101" s="7">
        <v>100</v>
      </c>
    </row>
    <row r="102" spans="1:8" ht="12.45" customHeight="1" x14ac:dyDescent="0.3">
      <c r="A102" s="2" t="s">
        <v>1414</v>
      </c>
      <c r="B102" s="2">
        <v>56.5</v>
      </c>
      <c r="C102" s="2">
        <v>4.22</v>
      </c>
      <c r="D102" s="2">
        <v>238.2</v>
      </c>
      <c r="E102" s="6">
        <f t="shared" si="3"/>
        <v>94</v>
      </c>
      <c r="F102" s="6">
        <f t="shared" si="4"/>
        <v>113</v>
      </c>
      <c r="G102" s="2">
        <f t="shared" si="5"/>
        <v>99.699999999999989</v>
      </c>
      <c r="H102" s="7">
        <v>101</v>
      </c>
    </row>
    <row r="103" spans="1:8" ht="12.45" customHeight="1" x14ac:dyDescent="0.3">
      <c r="A103" s="2" t="s">
        <v>1415</v>
      </c>
      <c r="B103" s="2">
        <v>58.5</v>
      </c>
      <c r="C103" s="2">
        <v>4.17</v>
      </c>
      <c r="D103" s="2">
        <v>243.7</v>
      </c>
      <c r="E103" s="6">
        <f t="shared" si="3"/>
        <v>103</v>
      </c>
      <c r="F103" s="6">
        <f t="shared" si="4"/>
        <v>93</v>
      </c>
      <c r="G103" s="2">
        <f t="shared" si="5"/>
        <v>100</v>
      </c>
      <c r="H103" s="7">
        <v>102</v>
      </c>
    </row>
    <row r="104" spans="1:8" ht="12.45" customHeight="1" x14ac:dyDescent="0.3">
      <c r="A104" s="2" t="s">
        <v>1416</v>
      </c>
      <c r="B104" s="2">
        <v>53</v>
      </c>
      <c r="C104" s="2">
        <v>4.28</v>
      </c>
      <c r="D104" s="2">
        <v>226.6</v>
      </c>
      <c r="E104" s="6">
        <f t="shared" si="3"/>
        <v>83</v>
      </c>
      <c r="F104" s="6">
        <f t="shared" si="4"/>
        <v>141</v>
      </c>
      <c r="G104" s="2">
        <f t="shared" si="5"/>
        <v>100.39999999999999</v>
      </c>
      <c r="H104" s="7">
        <v>103</v>
      </c>
    </row>
    <row r="105" spans="1:8" ht="12.45" customHeight="1" x14ac:dyDescent="0.3">
      <c r="A105" s="2" t="s">
        <v>1417</v>
      </c>
      <c r="B105" s="2">
        <v>56.5</v>
      </c>
      <c r="C105" s="2">
        <v>4.1900000000000004</v>
      </c>
      <c r="D105" s="2">
        <v>236.8</v>
      </c>
      <c r="E105" s="6">
        <f t="shared" si="3"/>
        <v>98</v>
      </c>
      <c r="F105" s="6">
        <f t="shared" si="4"/>
        <v>116</v>
      </c>
      <c r="G105" s="2">
        <f t="shared" si="5"/>
        <v>103.39999999999999</v>
      </c>
      <c r="H105" s="7">
        <v>104</v>
      </c>
    </row>
    <row r="106" spans="1:8" ht="12.45" customHeight="1" x14ac:dyDescent="0.3">
      <c r="A106" s="2" t="s">
        <v>1418</v>
      </c>
      <c r="B106" s="2">
        <v>60</v>
      </c>
      <c r="C106" s="2">
        <v>4.12</v>
      </c>
      <c r="D106" s="2">
        <v>247.05</v>
      </c>
      <c r="E106" s="6">
        <f t="shared" si="3"/>
        <v>112</v>
      </c>
      <c r="F106" s="6">
        <f t="shared" si="4"/>
        <v>84</v>
      </c>
      <c r="G106" s="2">
        <f t="shared" si="5"/>
        <v>103.6</v>
      </c>
      <c r="H106" s="7">
        <v>105</v>
      </c>
    </row>
    <row r="107" spans="1:8" ht="12.45" customHeight="1" x14ac:dyDescent="0.3">
      <c r="A107" s="2" t="s">
        <v>1419</v>
      </c>
      <c r="B107" s="2">
        <v>62.5</v>
      </c>
      <c r="C107" s="2">
        <v>4.05</v>
      </c>
      <c r="D107" s="2">
        <v>253.3</v>
      </c>
      <c r="E107" s="6">
        <f t="shared" si="3"/>
        <v>127</v>
      </c>
      <c r="F107" s="6">
        <f t="shared" si="4"/>
        <v>61</v>
      </c>
      <c r="G107" s="2">
        <f t="shared" si="5"/>
        <v>107.19999999999999</v>
      </c>
      <c r="H107" s="7">
        <v>106</v>
      </c>
    </row>
    <row r="108" spans="1:8" ht="12.45" customHeight="1" x14ac:dyDescent="0.3">
      <c r="A108" s="2" t="s">
        <v>1420</v>
      </c>
      <c r="B108" s="2">
        <v>56.5</v>
      </c>
      <c r="C108" s="2">
        <v>4.18</v>
      </c>
      <c r="D108" s="2">
        <v>235.95</v>
      </c>
      <c r="E108" s="6">
        <f t="shared" si="3"/>
        <v>101</v>
      </c>
      <c r="F108" s="6">
        <f t="shared" si="4"/>
        <v>122</v>
      </c>
      <c r="G108" s="2">
        <f t="shared" si="5"/>
        <v>107.29999999999998</v>
      </c>
      <c r="H108" s="7">
        <v>107</v>
      </c>
    </row>
    <row r="109" spans="1:8" ht="12.45" customHeight="1" x14ac:dyDescent="0.3">
      <c r="A109" s="2" t="s">
        <v>1421</v>
      </c>
      <c r="B109" s="2">
        <v>58</v>
      </c>
      <c r="C109" s="2">
        <v>4.1399999999999997</v>
      </c>
      <c r="D109" s="2">
        <v>240.05</v>
      </c>
      <c r="E109" s="6">
        <f t="shared" si="3"/>
        <v>108</v>
      </c>
      <c r="F109" s="6">
        <f t="shared" si="4"/>
        <v>108</v>
      </c>
      <c r="G109" s="2">
        <f t="shared" si="5"/>
        <v>108</v>
      </c>
      <c r="H109" s="7">
        <v>108</v>
      </c>
    </row>
    <row r="110" spans="1:8" ht="12.45" customHeight="1" x14ac:dyDescent="0.3">
      <c r="A110" s="2" t="s">
        <v>1422</v>
      </c>
      <c r="B110" s="2">
        <v>55</v>
      </c>
      <c r="C110" s="2">
        <v>4.1900000000000004</v>
      </c>
      <c r="D110" s="2">
        <v>230.7</v>
      </c>
      <c r="E110" s="6">
        <f t="shared" si="3"/>
        <v>98</v>
      </c>
      <c r="F110" s="6">
        <f t="shared" si="4"/>
        <v>133</v>
      </c>
      <c r="G110" s="2">
        <f t="shared" si="5"/>
        <v>108.5</v>
      </c>
      <c r="H110" s="7">
        <v>109</v>
      </c>
    </row>
    <row r="111" spans="1:8" ht="12.45" customHeight="1" x14ac:dyDescent="0.3">
      <c r="A111" s="2" t="s">
        <v>1423</v>
      </c>
      <c r="B111" s="2">
        <v>61</v>
      </c>
      <c r="C111" s="2">
        <v>4.0599999999999996</v>
      </c>
      <c r="D111" s="2">
        <v>247.95</v>
      </c>
      <c r="E111" s="6">
        <f t="shared" si="3"/>
        <v>122</v>
      </c>
      <c r="F111" s="6">
        <f t="shared" si="4"/>
        <v>78</v>
      </c>
      <c r="G111" s="2">
        <f t="shared" si="5"/>
        <v>108.79999999999998</v>
      </c>
      <c r="H111" s="7">
        <v>110</v>
      </c>
    </row>
    <row r="112" spans="1:8" ht="12.45" customHeight="1" x14ac:dyDescent="0.3">
      <c r="A112" s="2" t="s">
        <v>1424</v>
      </c>
      <c r="B112" s="2">
        <v>61</v>
      </c>
      <c r="C112" s="2">
        <v>4.0599999999999996</v>
      </c>
      <c r="D112" s="2">
        <v>247.85</v>
      </c>
      <c r="E112" s="6">
        <f t="shared" si="3"/>
        <v>122</v>
      </c>
      <c r="F112" s="6">
        <f t="shared" si="4"/>
        <v>79</v>
      </c>
      <c r="G112" s="2">
        <f t="shared" si="5"/>
        <v>109.1</v>
      </c>
      <c r="H112" s="7">
        <v>111</v>
      </c>
    </row>
    <row r="113" spans="1:8" ht="12.45" customHeight="1" x14ac:dyDescent="0.3">
      <c r="A113" s="2" t="s">
        <v>1425</v>
      </c>
      <c r="B113" s="2">
        <v>59.5</v>
      </c>
      <c r="C113" s="2">
        <v>4.0999999999999996</v>
      </c>
      <c r="D113" s="2">
        <v>243.8</v>
      </c>
      <c r="E113" s="6">
        <f t="shared" si="3"/>
        <v>118</v>
      </c>
      <c r="F113" s="6">
        <f t="shared" si="4"/>
        <v>89</v>
      </c>
      <c r="G113" s="2">
        <f t="shared" si="5"/>
        <v>109.3</v>
      </c>
      <c r="H113" s="7">
        <v>112</v>
      </c>
    </row>
    <row r="114" spans="1:8" ht="12.45" customHeight="1" x14ac:dyDescent="0.3">
      <c r="A114" s="2" t="s">
        <v>1426</v>
      </c>
      <c r="B114" s="2">
        <v>57.5</v>
      </c>
      <c r="C114" s="2">
        <v>4.1399999999999997</v>
      </c>
      <c r="D114" s="2">
        <v>237.85</v>
      </c>
      <c r="E114" s="6">
        <f t="shared" si="3"/>
        <v>108</v>
      </c>
      <c r="F114" s="6">
        <f t="shared" si="4"/>
        <v>114</v>
      </c>
      <c r="G114" s="2">
        <f t="shared" si="5"/>
        <v>109.79999999999998</v>
      </c>
      <c r="H114" s="7">
        <v>113</v>
      </c>
    </row>
    <row r="115" spans="1:8" ht="12.45" customHeight="1" x14ac:dyDescent="0.3">
      <c r="A115" s="2" t="s">
        <v>1427</v>
      </c>
      <c r="B115" s="2">
        <v>56</v>
      </c>
      <c r="C115" s="2">
        <v>4.16</v>
      </c>
      <c r="D115" s="2">
        <v>232.75</v>
      </c>
      <c r="E115" s="6">
        <f t="shared" si="3"/>
        <v>105</v>
      </c>
      <c r="F115" s="6">
        <f t="shared" si="4"/>
        <v>127</v>
      </c>
      <c r="G115" s="2">
        <f t="shared" si="5"/>
        <v>111.6</v>
      </c>
      <c r="H115" s="7">
        <v>114</v>
      </c>
    </row>
    <row r="116" spans="1:8" ht="12.45" customHeight="1" x14ac:dyDescent="0.3">
      <c r="A116" s="2" t="s">
        <v>1428</v>
      </c>
      <c r="B116" s="2">
        <v>58</v>
      </c>
      <c r="C116" s="2">
        <v>4.12</v>
      </c>
      <c r="D116" s="2">
        <v>239.05</v>
      </c>
      <c r="E116" s="6">
        <f t="shared" si="3"/>
        <v>112</v>
      </c>
      <c r="F116" s="6">
        <f t="shared" si="4"/>
        <v>112</v>
      </c>
      <c r="G116" s="2">
        <f t="shared" si="5"/>
        <v>112</v>
      </c>
      <c r="H116" s="7">
        <v>115</v>
      </c>
    </row>
    <row r="117" spans="1:8" ht="12.45" customHeight="1" x14ac:dyDescent="0.3">
      <c r="A117" s="2" t="s">
        <v>1429</v>
      </c>
      <c r="B117" s="2">
        <v>56</v>
      </c>
      <c r="C117" s="2">
        <v>4.1500000000000004</v>
      </c>
      <c r="D117" s="2">
        <v>232.35</v>
      </c>
      <c r="E117" s="6">
        <f t="shared" si="3"/>
        <v>106</v>
      </c>
      <c r="F117" s="6">
        <f t="shared" si="4"/>
        <v>129</v>
      </c>
      <c r="G117" s="2">
        <f t="shared" si="5"/>
        <v>112.89999999999998</v>
      </c>
      <c r="H117" s="7">
        <v>116</v>
      </c>
    </row>
    <row r="118" spans="1:8" ht="12.45" customHeight="1" x14ac:dyDescent="0.3">
      <c r="A118" s="2" t="s">
        <v>1430</v>
      </c>
      <c r="B118" s="2">
        <v>60</v>
      </c>
      <c r="C118" s="2">
        <v>4.0599999999999996</v>
      </c>
      <c r="D118" s="2">
        <v>243.45</v>
      </c>
      <c r="E118" s="6">
        <f t="shared" si="3"/>
        <v>122</v>
      </c>
      <c r="F118" s="6">
        <f t="shared" si="4"/>
        <v>94</v>
      </c>
      <c r="G118" s="2">
        <f t="shared" si="5"/>
        <v>113.6</v>
      </c>
      <c r="H118" s="7">
        <v>117</v>
      </c>
    </row>
    <row r="119" spans="1:8" ht="12.45" customHeight="1" x14ac:dyDescent="0.3">
      <c r="A119" s="2" t="s">
        <v>1431</v>
      </c>
      <c r="B119" s="2">
        <v>57</v>
      </c>
      <c r="C119" s="2">
        <v>4.13</v>
      </c>
      <c r="D119" s="2">
        <v>235.35</v>
      </c>
      <c r="E119" s="6">
        <f t="shared" si="3"/>
        <v>111</v>
      </c>
      <c r="F119" s="6">
        <f t="shared" si="4"/>
        <v>123</v>
      </c>
      <c r="G119" s="2">
        <f t="shared" si="5"/>
        <v>114.6</v>
      </c>
      <c r="H119" s="7">
        <v>118</v>
      </c>
    </row>
    <row r="120" spans="1:8" ht="12.45" customHeight="1" x14ac:dyDescent="0.3">
      <c r="A120" s="2" t="s">
        <v>1432</v>
      </c>
      <c r="B120" s="2">
        <v>59.5</v>
      </c>
      <c r="C120" s="2">
        <v>4.0599999999999996</v>
      </c>
      <c r="D120" s="2">
        <v>241.75</v>
      </c>
      <c r="E120" s="6">
        <f t="shared" si="3"/>
        <v>122</v>
      </c>
      <c r="F120" s="6">
        <f t="shared" si="4"/>
        <v>101</v>
      </c>
      <c r="G120" s="2">
        <f t="shared" si="5"/>
        <v>115.69999999999999</v>
      </c>
      <c r="H120" s="7">
        <v>119</v>
      </c>
    </row>
    <row r="121" spans="1:8" ht="12.45" customHeight="1" x14ac:dyDescent="0.3">
      <c r="A121" s="2" t="s">
        <v>1433</v>
      </c>
      <c r="B121" s="2">
        <v>57</v>
      </c>
      <c r="C121" s="2">
        <v>4.12</v>
      </c>
      <c r="D121" s="2">
        <v>234.7</v>
      </c>
      <c r="E121" s="6">
        <f t="shared" si="3"/>
        <v>112</v>
      </c>
      <c r="F121" s="6">
        <f t="shared" si="4"/>
        <v>125</v>
      </c>
      <c r="G121" s="2">
        <f t="shared" si="5"/>
        <v>115.89999999999999</v>
      </c>
      <c r="H121" s="7">
        <v>120</v>
      </c>
    </row>
    <row r="122" spans="1:8" ht="12.45" customHeight="1" x14ac:dyDescent="0.3">
      <c r="A122" s="2" t="s">
        <v>1434</v>
      </c>
      <c r="B122" s="2">
        <v>56.5</v>
      </c>
      <c r="C122" s="2">
        <v>4.12</v>
      </c>
      <c r="D122" s="2">
        <v>232.8</v>
      </c>
      <c r="E122" s="6">
        <f t="shared" si="3"/>
        <v>112</v>
      </c>
      <c r="F122" s="6">
        <f t="shared" si="4"/>
        <v>126</v>
      </c>
      <c r="G122" s="2">
        <f t="shared" si="5"/>
        <v>116.19999999999999</v>
      </c>
      <c r="H122" s="7">
        <v>121</v>
      </c>
    </row>
    <row r="123" spans="1:8" ht="12.45" customHeight="1" x14ac:dyDescent="0.3">
      <c r="A123" s="2" t="s">
        <v>1435</v>
      </c>
      <c r="B123" s="2">
        <v>54</v>
      </c>
      <c r="C123" s="2">
        <v>4.1500000000000004</v>
      </c>
      <c r="D123" s="2">
        <v>223.95</v>
      </c>
      <c r="E123" s="6">
        <f t="shared" si="3"/>
        <v>106</v>
      </c>
      <c r="F123" s="6">
        <f t="shared" si="4"/>
        <v>147</v>
      </c>
      <c r="G123" s="2">
        <f t="shared" si="5"/>
        <v>118.29999999999998</v>
      </c>
      <c r="H123" s="7">
        <v>122</v>
      </c>
    </row>
    <row r="124" spans="1:8" ht="12.45" customHeight="1" x14ac:dyDescent="0.3">
      <c r="A124" s="2" t="s">
        <v>1436</v>
      </c>
      <c r="B124" s="2">
        <v>58</v>
      </c>
      <c r="C124" s="2">
        <v>4.08</v>
      </c>
      <c r="D124" s="2">
        <v>236.7</v>
      </c>
      <c r="E124" s="6">
        <f t="shared" si="3"/>
        <v>120</v>
      </c>
      <c r="F124" s="6">
        <f t="shared" si="4"/>
        <v>118</v>
      </c>
      <c r="G124" s="2">
        <f t="shared" si="5"/>
        <v>119.4</v>
      </c>
      <c r="H124" s="7">
        <v>123</v>
      </c>
    </row>
    <row r="125" spans="1:8" ht="12.45" customHeight="1" x14ac:dyDescent="0.3">
      <c r="A125" s="2" t="s">
        <v>1437</v>
      </c>
      <c r="B125" s="2">
        <v>56.5</v>
      </c>
      <c r="C125" s="2">
        <v>4.1100000000000003</v>
      </c>
      <c r="D125" s="2">
        <v>232.2</v>
      </c>
      <c r="E125" s="6">
        <f t="shared" si="3"/>
        <v>116</v>
      </c>
      <c r="F125" s="6">
        <f t="shared" si="4"/>
        <v>130</v>
      </c>
      <c r="G125" s="2">
        <f t="shared" si="5"/>
        <v>120.19999999999999</v>
      </c>
      <c r="H125" s="7">
        <v>124</v>
      </c>
    </row>
    <row r="126" spans="1:8" ht="12.45" customHeight="1" x14ac:dyDescent="0.3">
      <c r="A126" s="2" t="s">
        <v>1438</v>
      </c>
      <c r="B126" s="2">
        <v>55</v>
      </c>
      <c r="C126" s="2">
        <v>4.1100000000000003</v>
      </c>
      <c r="D126" s="2">
        <v>226.2</v>
      </c>
      <c r="E126" s="6">
        <f t="shared" si="3"/>
        <v>116</v>
      </c>
      <c r="F126" s="6">
        <f t="shared" si="4"/>
        <v>142</v>
      </c>
      <c r="G126" s="2">
        <f t="shared" si="5"/>
        <v>123.79999999999998</v>
      </c>
      <c r="H126" s="7">
        <v>125</v>
      </c>
    </row>
    <row r="127" spans="1:8" ht="12.45" customHeight="1" x14ac:dyDescent="0.3">
      <c r="A127" s="2" t="s">
        <v>1439</v>
      </c>
      <c r="B127" s="2">
        <v>61</v>
      </c>
      <c r="C127" s="2">
        <v>3.98</v>
      </c>
      <c r="D127" s="2">
        <v>242.75</v>
      </c>
      <c r="E127" s="6">
        <f t="shared" si="3"/>
        <v>136</v>
      </c>
      <c r="F127" s="6">
        <f t="shared" si="4"/>
        <v>96</v>
      </c>
      <c r="G127" s="2">
        <f t="shared" si="5"/>
        <v>123.99999999999999</v>
      </c>
      <c r="H127" s="7">
        <v>126</v>
      </c>
    </row>
    <row r="128" spans="1:8" ht="12.45" customHeight="1" x14ac:dyDescent="0.3">
      <c r="A128" s="2" t="s">
        <v>1440</v>
      </c>
      <c r="B128" s="2">
        <v>56</v>
      </c>
      <c r="C128" s="2">
        <v>4.08</v>
      </c>
      <c r="D128" s="2">
        <v>228.7</v>
      </c>
      <c r="E128" s="6">
        <f t="shared" si="3"/>
        <v>120</v>
      </c>
      <c r="F128" s="6">
        <f t="shared" si="4"/>
        <v>137</v>
      </c>
      <c r="G128" s="2">
        <f t="shared" si="5"/>
        <v>125.1</v>
      </c>
      <c r="H128" s="7">
        <v>127</v>
      </c>
    </row>
    <row r="129" spans="1:8" ht="12.45" customHeight="1" x14ac:dyDescent="0.3">
      <c r="A129" s="2" t="s">
        <v>1441</v>
      </c>
      <c r="B129" s="2">
        <v>61.5</v>
      </c>
      <c r="C129" s="2">
        <v>3.94</v>
      </c>
      <c r="D129" s="2">
        <v>242.2</v>
      </c>
      <c r="E129" s="6">
        <f t="shared" si="3"/>
        <v>140</v>
      </c>
      <c r="F129" s="6">
        <f t="shared" si="4"/>
        <v>98</v>
      </c>
      <c r="G129" s="2">
        <f t="shared" si="5"/>
        <v>127.4</v>
      </c>
      <c r="H129" s="7">
        <v>128</v>
      </c>
    </row>
    <row r="130" spans="1:8" ht="12.45" customHeight="1" x14ac:dyDescent="0.3">
      <c r="A130" s="2" t="s">
        <v>1442</v>
      </c>
      <c r="B130" s="2">
        <v>60.5</v>
      </c>
      <c r="C130" s="2">
        <v>3.96</v>
      </c>
      <c r="D130" s="2">
        <v>239.6</v>
      </c>
      <c r="E130" s="6">
        <f t="shared" ref="E130:E193" si="6">_xlfn.RANK.EQ(C130,C:C,0)</f>
        <v>137</v>
      </c>
      <c r="F130" s="6">
        <f t="shared" ref="F130:F193" si="7">_xlfn.RANK.EQ(D130,D:D,0)</f>
        <v>109</v>
      </c>
      <c r="G130" s="2">
        <f t="shared" ref="G130:G193" si="8">E130*0.7+F130*0.3</f>
        <v>128.6</v>
      </c>
      <c r="H130" s="7">
        <v>129</v>
      </c>
    </row>
    <row r="131" spans="1:8" ht="12.45" customHeight="1" x14ac:dyDescent="0.3">
      <c r="A131" s="2" t="s">
        <v>1444</v>
      </c>
      <c r="B131" s="2">
        <v>59</v>
      </c>
      <c r="C131" s="2">
        <v>4.01</v>
      </c>
      <c r="D131" s="2">
        <v>236.6</v>
      </c>
      <c r="E131" s="6">
        <f t="shared" si="6"/>
        <v>133</v>
      </c>
      <c r="F131" s="6">
        <f t="shared" si="7"/>
        <v>119</v>
      </c>
      <c r="G131" s="2">
        <f t="shared" si="8"/>
        <v>128.79999999999998</v>
      </c>
      <c r="H131" s="7">
        <v>130</v>
      </c>
    </row>
    <row r="132" spans="1:8" ht="12.45" customHeight="1" x14ac:dyDescent="0.3">
      <c r="A132" s="2" t="s">
        <v>1443</v>
      </c>
      <c r="B132" s="2">
        <v>61</v>
      </c>
      <c r="C132" s="2">
        <v>3.95</v>
      </c>
      <c r="D132" s="2">
        <v>241.2</v>
      </c>
      <c r="E132" s="6">
        <f t="shared" si="6"/>
        <v>139</v>
      </c>
      <c r="F132" s="6">
        <f t="shared" si="7"/>
        <v>105</v>
      </c>
      <c r="G132" s="2">
        <f t="shared" si="8"/>
        <v>128.80000000000001</v>
      </c>
      <c r="H132" s="7">
        <v>130</v>
      </c>
    </row>
    <row r="133" spans="1:8" ht="12.45" customHeight="1" x14ac:dyDescent="0.3">
      <c r="A133" s="2" t="s">
        <v>1445</v>
      </c>
      <c r="B133" s="2">
        <v>54</v>
      </c>
      <c r="C133" s="2">
        <v>4.09</v>
      </c>
      <c r="D133" s="2">
        <v>220.95</v>
      </c>
      <c r="E133" s="6">
        <f t="shared" si="6"/>
        <v>119</v>
      </c>
      <c r="F133" s="6">
        <f t="shared" si="7"/>
        <v>152</v>
      </c>
      <c r="G133" s="2">
        <f t="shared" si="8"/>
        <v>128.9</v>
      </c>
      <c r="H133" s="7">
        <v>132</v>
      </c>
    </row>
    <row r="134" spans="1:8" ht="12.45" customHeight="1" x14ac:dyDescent="0.3">
      <c r="A134" s="2" t="s">
        <v>1446</v>
      </c>
      <c r="B134" s="2">
        <v>58</v>
      </c>
      <c r="C134" s="2">
        <v>3.99</v>
      </c>
      <c r="D134" s="2">
        <v>231.45</v>
      </c>
      <c r="E134" s="6">
        <f t="shared" si="6"/>
        <v>135</v>
      </c>
      <c r="F134" s="6">
        <f t="shared" si="7"/>
        <v>131</v>
      </c>
      <c r="G134" s="2">
        <f t="shared" si="8"/>
        <v>133.80000000000001</v>
      </c>
      <c r="H134" s="7">
        <v>133</v>
      </c>
    </row>
    <row r="135" spans="1:8" ht="12.45" customHeight="1" x14ac:dyDescent="0.3">
      <c r="A135" s="2" t="s">
        <v>1447</v>
      </c>
      <c r="B135" s="2">
        <v>60</v>
      </c>
      <c r="C135" s="2">
        <v>3.94</v>
      </c>
      <c r="D135" s="2">
        <v>236.5</v>
      </c>
      <c r="E135" s="6">
        <f t="shared" si="6"/>
        <v>140</v>
      </c>
      <c r="F135" s="6">
        <f t="shared" si="7"/>
        <v>120</v>
      </c>
      <c r="G135" s="2">
        <f t="shared" si="8"/>
        <v>134</v>
      </c>
      <c r="H135" s="7">
        <v>134</v>
      </c>
    </row>
    <row r="136" spans="1:8" ht="12.45" customHeight="1" x14ac:dyDescent="0.3">
      <c r="A136" s="2" t="s">
        <v>1448</v>
      </c>
      <c r="B136" s="2">
        <v>60</v>
      </c>
      <c r="C136" s="2">
        <v>3.94</v>
      </c>
      <c r="D136" s="2">
        <v>236.35</v>
      </c>
      <c r="E136" s="6">
        <f t="shared" si="6"/>
        <v>140</v>
      </c>
      <c r="F136" s="6">
        <f t="shared" si="7"/>
        <v>121</v>
      </c>
      <c r="G136" s="2">
        <f t="shared" si="8"/>
        <v>134.30000000000001</v>
      </c>
      <c r="H136" s="7">
        <v>135</v>
      </c>
    </row>
    <row r="137" spans="1:8" ht="12.45" customHeight="1" x14ac:dyDescent="0.3">
      <c r="A137" s="2" t="s">
        <v>1449</v>
      </c>
      <c r="B137" s="2">
        <v>56</v>
      </c>
      <c r="C137" s="2">
        <v>4.0199999999999996</v>
      </c>
      <c r="D137" s="2">
        <v>225.15</v>
      </c>
      <c r="E137" s="6">
        <f t="shared" si="6"/>
        <v>132</v>
      </c>
      <c r="F137" s="6">
        <f t="shared" si="7"/>
        <v>145</v>
      </c>
      <c r="G137" s="2">
        <f t="shared" si="8"/>
        <v>135.89999999999998</v>
      </c>
      <c r="H137" s="7">
        <v>136</v>
      </c>
    </row>
    <row r="138" spans="1:8" ht="12.45" customHeight="1" x14ac:dyDescent="0.3">
      <c r="A138" s="2" t="s">
        <v>1450</v>
      </c>
      <c r="B138" s="2">
        <v>58</v>
      </c>
      <c r="C138" s="2">
        <v>3.96</v>
      </c>
      <c r="D138" s="2">
        <v>229.8</v>
      </c>
      <c r="E138" s="6">
        <f t="shared" si="6"/>
        <v>137</v>
      </c>
      <c r="F138" s="6">
        <f t="shared" si="7"/>
        <v>135</v>
      </c>
      <c r="G138" s="2">
        <f t="shared" si="8"/>
        <v>136.39999999999998</v>
      </c>
      <c r="H138" s="7">
        <v>137</v>
      </c>
    </row>
    <row r="139" spans="1:8" ht="12.45" customHeight="1" x14ac:dyDescent="0.3">
      <c r="A139" s="2" t="s">
        <v>1451</v>
      </c>
      <c r="B139" s="2">
        <v>58.5</v>
      </c>
      <c r="C139" s="2">
        <v>3.94</v>
      </c>
      <c r="D139" s="2">
        <v>230.75</v>
      </c>
      <c r="E139" s="6">
        <f t="shared" si="6"/>
        <v>140</v>
      </c>
      <c r="F139" s="6">
        <f t="shared" si="7"/>
        <v>132</v>
      </c>
      <c r="G139" s="2">
        <f t="shared" si="8"/>
        <v>137.6</v>
      </c>
      <c r="H139" s="7">
        <v>138</v>
      </c>
    </row>
    <row r="140" spans="1:8" ht="12.45" customHeight="1" x14ac:dyDescent="0.3">
      <c r="A140" s="2" t="s">
        <v>1452</v>
      </c>
      <c r="B140" s="2">
        <v>55.5</v>
      </c>
      <c r="C140" s="2">
        <v>4.01</v>
      </c>
      <c r="D140" s="2">
        <v>222.6</v>
      </c>
      <c r="E140" s="6">
        <f t="shared" si="6"/>
        <v>133</v>
      </c>
      <c r="F140" s="6">
        <f t="shared" si="7"/>
        <v>149</v>
      </c>
      <c r="G140" s="2">
        <f t="shared" si="8"/>
        <v>137.79999999999998</v>
      </c>
      <c r="H140" s="7">
        <v>139</v>
      </c>
    </row>
    <row r="141" spans="1:8" ht="12.45" customHeight="1" x14ac:dyDescent="0.3">
      <c r="A141" s="2" t="s">
        <v>1453</v>
      </c>
      <c r="B141" s="2">
        <v>49.5</v>
      </c>
      <c r="C141" s="2">
        <v>4.05</v>
      </c>
      <c r="D141" s="2">
        <v>212.85</v>
      </c>
      <c r="E141" s="6">
        <f t="shared" si="6"/>
        <v>127</v>
      </c>
      <c r="F141" s="6">
        <f t="shared" si="7"/>
        <v>164</v>
      </c>
      <c r="G141" s="2">
        <f t="shared" si="8"/>
        <v>138.1</v>
      </c>
      <c r="H141" s="7">
        <v>140</v>
      </c>
    </row>
    <row r="142" spans="1:8" ht="12.45" customHeight="1" x14ac:dyDescent="0.3">
      <c r="A142" s="2" t="s">
        <v>1454</v>
      </c>
      <c r="B142" s="2">
        <v>52</v>
      </c>
      <c r="C142" s="2">
        <v>4.05</v>
      </c>
      <c r="D142" s="2">
        <v>210.65</v>
      </c>
      <c r="E142" s="6">
        <f t="shared" si="6"/>
        <v>127</v>
      </c>
      <c r="F142" s="6">
        <f t="shared" si="7"/>
        <v>167</v>
      </c>
      <c r="G142" s="2">
        <f t="shared" si="8"/>
        <v>139</v>
      </c>
      <c r="H142" s="7">
        <v>141</v>
      </c>
    </row>
    <row r="143" spans="1:8" ht="12.45" customHeight="1" x14ac:dyDescent="0.3">
      <c r="A143" s="2" t="s">
        <v>1455</v>
      </c>
      <c r="B143" s="2">
        <v>53</v>
      </c>
      <c r="C143" s="2">
        <v>4.04</v>
      </c>
      <c r="D143" s="2">
        <v>214.05</v>
      </c>
      <c r="E143" s="6">
        <f t="shared" si="6"/>
        <v>130</v>
      </c>
      <c r="F143" s="6">
        <f t="shared" si="7"/>
        <v>162</v>
      </c>
      <c r="G143" s="2">
        <f t="shared" si="8"/>
        <v>139.6</v>
      </c>
      <c r="H143" s="7">
        <v>142</v>
      </c>
    </row>
    <row r="144" spans="1:8" ht="12.45" customHeight="1" x14ac:dyDescent="0.3">
      <c r="A144" s="2" t="s">
        <v>1456</v>
      </c>
      <c r="B144" s="2">
        <v>60</v>
      </c>
      <c r="C144" s="2">
        <v>3.91</v>
      </c>
      <c r="D144" s="2">
        <v>234.75</v>
      </c>
      <c r="E144" s="6">
        <f t="shared" si="6"/>
        <v>150</v>
      </c>
      <c r="F144" s="6">
        <f t="shared" si="7"/>
        <v>124</v>
      </c>
      <c r="G144" s="2">
        <f t="shared" si="8"/>
        <v>142.19999999999999</v>
      </c>
      <c r="H144" s="7">
        <v>143</v>
      </c>
    </row>
    <row r="145" spans="1:8" ht="12.45" customHeight="1" x14ac:dyDescent="0.3">
      <c r="A145" s="2" t="s">
        <v>1457</v>
      </c>
      <c r="B145" s="2">
        <v>61</v>
      </c>
      <c r="C145" s="2">
        <v>3.89</v>
      </c>
      <c r="D145" s="2">
        <v>237.15</v>
      </c>
      <c r="E145" s="6">
        <f t="shared" si="6"/>
        <v>154</v>
      </c>
      <c r="F145" s="6">
        <f t="shared" si="7"/>
        <v>115</v>
      </c>
      <c r="G145" s="2">
        <f t="shared" si="8"/>
        <v>142.30000000000001</v>
      </c>
      <c r="H145" s="7">
        <v>144</v>
      </c>
    </row>
    <row r="146" spans="1:8" ht="12.45" customHeight="1" x14ac:dyDescent="0.3">
      <c r="A146" s="2" t="s">
        <v>1458</v>
      </c>
      <c r="B146" s="2">
        <v>52</v>
      </c>
      <c r="C146" s="2">
        <v>4.03</v>
      </c>
      <c r="D146" s="2">
        <v>209.8</v>
      </c>
      <c r="E146" s="6">
        <f t="shared" si="6"/>
        <v>131</v>
      </c>
      <c r="F146" s="6">
        <f t="shared" si="7"/>
        <v>170</v>
      </c>
      <c r="G146" s="2">
        <f t="shared" si="8"/>
        <v>142.69999999999999</v>
      </c>
      <c r="H146" s="7">
        <v>145</v>
      </c>
    </row>
    <row r="147" spans="1:8" ht="12.45" customHeight="1" x14ac:dyDescent="0.3">
      <c r="A147" s="2" t="s">
        <v>1459</v>
      </c>
      <c r="B147" s="2">
        <v>59.5</v>
      </c>
      <c r="C147" s="2">
        <v>3.91</v>
      </c>
      <c r="D147" s="2">
        <v>232.6</v>
      </c>
      <c r="E147" s="6">
        <f t="shared" si="6"/>
        <v>150</v>
      </c>
      <c r="F147" s="6">
        <f t="shared" si="7"/>
        <v>128</v>
      </c>
      <c r="G147" s="2">
        <f t="shared" si="8"/>
        <v>143.4</v>
      </c>
      <c r="H147" s="7">
        <v>146</v>
      </c>
    </row>
    <row r="148" spans="1:8" ht="12.45" customHeight="1" x14ac:dyDescent="0.3">
      <c r="A148" s="2" t="s">
        <v>1461</v>
      </c>
      <c r="B148" s="2">
        <v>58</v>
      </c>
      <c r="C148" s="2">
        <v>3.93</v>
      </c>
      <c r="D148" s="2">
        <v>228.15</v>
      </c>
      <c r="E148" s="6">
        <f t="shared" si="6"/>
        <v>146</v>
      </c>
      <c r="F148" s="6">
        <f t="shared" si="7"/>
        <v>139</v>
      </c>
      <c r="G148" s="2">
        <f t="shared" si="8"/>
        <v>143.89999999999998</v>
      </c>
      <c r="H148" s="7">
        <v>147</v>
      </c>
    </row>
    <row r="149" spans="1:8" ht="12.45" customHeight="1" x14ac:dyDescent="0.3">
      <c r="A149" s="2" t="s">
        <v>1460</v>
      </c>
      <c r="B149" s="2">
        <v>56</v>
      </c>
      <c r="C149" s="2">
        <v>3.94</v>
      </c>
      <c r="D149" s="2">
        <v>220.55</v>
      </c>
      <c r="E149" s="6">
        <f t="shared" si="6"/>
        <v>140</v>
      </c>
      <c r="F149" s="6">
        <f t="shared" si="7"/>
        <v>153</v>
      </c>
      <c r="G149" s="2">
        <f t="shared" si="8"/>
        <v>143.9</v>
      </c>
      <c r="H149" s="7">
        <v>147</v>
      </c>
    </row>
    <row r="150" spans="1:8" ht="12.45" customHeight="1" x14ac:dyDescent="0.3">
      <c r="A150" s="2" t="s">
        <v>1462</v>
      </c>
      <c r="B150" s="2">
        <v>58</v>
      </c>
      <c r="C150" s="2">
        <v>3.91</v>
      </c>
      <c r="D150" s="2">
        <v>227</v>
      </c>
      <c r="E150" s="6">
        <f t="shared" si="6"/>
        <v>150</v>
      </c>
      <c r="F150" s="6">
        <f t="shared" si="7"/>
        <v>140</v>
      </c>
      <c r="G150" s="2">
        <f t="shared" si="8"/>
        <v>147</v>
      </c>
      <c r="H150" s="7">
        <v>149</v>
      </c>
    </row>
    <row r="151" spans="1:8" ht="12.45" customHeight="1" x14ac:dyDescent="0.3">
      <c r="A151" s="2" t="s">
        <v>1463</v>
      </c>
      <c r="B151" s="2">
        <v>56</v>
      </c>
      <c r="C151" s="2">
        <v>3.93</v>
      </c>
      <c r="D151" s="2">
        <v>220.15</v>
      </c>
      <c r="E151" s="6">
        <f t="shared" si="6"/>
        <v>146</v>
      </c>
      <c r="F151" s="6">
        <f t="shared" si="7"/>
        <v>154</v>
      </c>
      <c r="G151" s="2">
        <f t="shared" si="8"/>
        <v>148.39999999999998</v>
      </c>
      <c r="H151" s="7">
        <v>150</v>
      </c>
    </row>
    <row r="152" spans="1:8" ht="12.45" customHeight="1" x14ac:dyDescent="0.3">
      <c r="A152" s="2" t="s">
        <v>1464</v>
      </c>
      <c r="B152" s="2">
        <v>56.5</v>
      </c>
      <c r="C152" s="2">
        <v>3.92</v>
      </c>
      <c r="D152" s="2">
        <v>221.7</v>
      </c>
      <c r="E152" s="6">
        <f t="shared" si="6"/>
        <v>148</v>
      </c>
      <c r="F152" s="6">
        <f t="shared" si="7"/>
        <v>150</v>
      </c>
      <c r="G152" s="2">
        <f t="shared" si="8"/>
        <v>148.6</v>
      </c>
      <c r="H152" s="7">
        <v>151</v>
      </c>
    </row>
    <row r="153" spans="1:8" ht="12.45" customHeight="1" x14ac:dyDescent="0.3">
      <c r="A153" s="2" t="s">
        <v>1465</v>
      </c>
      <c r="B153" s="2">
        <v>59</v>
      </c>
      <c r="C153" s="2">
        <v>3.89</v>
      </c>
      <c r="D153" s="2">
        <v>229.25</v>
      </c>
      <c r="E153" s="6">
        <f t="shared" si="6"/>
        <v>154</v>
      </c>
      <c r="F153" s="6">
        <f t="shared" si="7"/>
        <v>136</v>
      </c>
      <c r="G153" s="2">
        <f t="shared" si="8"/>
        <v>148.6</v>
      </c>
      <c r="H153" s="7">
        <v>151</v>
      </c>
    </row>
    <row r="154" spans="1:8" ht="12.45" customHeight="1" x14ac:dyDescent="0.3">
      <c r="A154" s="2" t="s">
        <v>1466</v>
      </c>
      <c r="B154" s="2">
        <v>57</v>
      </c>
      <c r="C154" s="2">
        <v>3.91</v>
      </c>
      <c r="D154" s="2">
        <v>222.9</v>
      </c>
      <c r="E154" s="6">
        <f t="shared" si="6"/>
        <v>150</v>
      </c>
      <c r="F154" s="6">
        <f t="shared" si="7"/>
        <v>148</v>
      </c>
      <c r="G154" s="2">
        <f t="shared" si="8"/>
        <v>149.4</v>
      </c>
      <c r="H154" s="7">
        <v>153</v>
      </c>
    </row>
    <row r="155" spans="1:8" ht="12.45" customHeight="1" x14ac:dyDescent="0.3">
      <c r="A155" s="2" t="s">
        <v>1467</v>
      </c>
      <c r="B155" s="2">
        <v>52</v>
      </c>
      <c r="C155" s="2">
        <v>3.94</v>
      </c>
      <c r="D155" s="2">
        <v>204.75</v>
      </c>
      <c r="E155" s="6">
        <f t="shared" si="6"/>
        <v>140</v>
      </c>
      <c r="F155" s="6">
        <f t="shared" si="7"/>
        <v>174</v>
      </c>
      <c r="G155" s="2">
        <f t="shared" si="8"/>
        <v>150.19999999999999</v>
      </c>
      <c r="H155" s="7">
        <v>154</v>
      </c>
    </row>
    <row r="156" spans="1:8" ht="12.45" customHeight="1" x14ac:dyDescent="0.3">
      <c r="A156" s="2" t="s">
        <v>1468</v>
      </c>
      <c r="B156" s="2">
        <v>55</v>
      </c>
      <c r="C156" s="2">
        <v>3.92</v>
      </c>
      <c r="D156" s="2">
        <v>215.4</v>
      </c>
      <c r="E156" s="6">
        <f t="shared" si="6"/>
        <v>148</v>
      </c>
      <c r="F156" s="6">
        <f t="shared" si="7"/>
        <v>161</v>
      </c>
      <c r="G156" s="2">
        <f t="shared" si="8"/>
        <v>151.89999999999998</v>
      </c>
      <c r="H156" s="7">
        <v>155</v>
      </c>
    </row>
    <row r="157" spans="1:8" ht="12.45" customHeight="1" x14ac:dyDescent="0.3">
      <c r="A157" s="2" t="s">
        <v>1469</v>
      </c>
      <c r="B157" s="2">
        <v>60</v>
      </c>
      <c r="C157" s="2">
        <v>3.84</v>
      </c>
      <c r="D157" s="2">
        <v>230.1</v>
      </c>
      <c r="E157" s="6">
        <f t="shared" si="6"/>
        <v>160</v>
      </c>
      <c r="F157" s="6">
        <f t="shared" si="7"/>
        <v>134</v>
      </c>
      <c r="G157" s="2">
        <f t="shared" si="8"/>
        <v>152.19999999999999</v>
      </c>
      <c r="H157" s="7">
        <v>156</v>
      </c>
    </row>
    <row r="158" spans="1:8" ht="12.45" customHeight="1" x14ac:dyDescent="0.3">
      <c r="A158" s="2" t="s">
        <v>1470</v>
      </c>
      <c r="B158" s="2">
        <v>60</v>
      </c>
      <c r="C158" s="2">
        <v>3.81</v>
      </c>
      <c r="D158" s="2">
        <v>228.6</v>
      </c>
      <c r="E158" s="6">
        <f t="shared" si="6"/>
        <v>164</v>
      </c>
      <c r="F158" s="6">
        <f t="shared" si="7"/>
        <v>138</v>
      </c>
      <c r="G158" s="2">
        <f t="shared" si="8"/>
        <v>156.19999999999999</v>
      </c>
      <c r="H158" s="7">
        <v>157</v>
      </c>
    </row>
    <row r="159" spans="1:8" ht="12.45" customHeight="1" x14ac:dyDescent="0.3">
      <c r="A159" s="2" t="s">
        <v>1471</v>
      </c>
      <c r="B159" s="2">
        <v>56</v>
      </c>
      <c r="C159" s="2">
        <v>3.88</v>
      </c>
      <c r="D159" s="2">
        <v>217.4</v>
      </c>
      <c r="E159" s="6">
        <f t="shared" si="6"/>
        <v>156</v>
      </c>
      <c r="F159" s="6">
        <f t="shared" si="7"/>
        <v>157</v>
      </c>
      <c r="G159" s="2">
        <f t="shared" si="8"/>
        <v>156.29999999999998</v>
      </c>
      <c r="H159" s="7">
        <v>158</v>
      </c>
    </row>
    <row r="160" spans="1:8" ht="12.45" customHeight="1" x14ac:dyDescent="0.3">
      <c r="A160" s="2" t="s">
        <v>1472</v>
      </c>
      <c r="B160" s="2">
        <v>56</v>
      </c>
      <c r="C160" s="2">
        <v>3.87</v>
      </c>
      <c r="D160" s="2">
        <v>216.45</v>
      </c>
      <c r="E160" s="6">
        <f t="shared" si="6"/>
        <v>158</v>
      </c>
      <c r="F160" s="6">
        <f t="shared" si="7"/>
        <v>159</v>
      </c>
      <c r="G160" s="2">
        <f t="shared" si="8"/>
        <v>158.29999999999998</v>
      </c>
      <c r="H160" s="7">
        <v>159</v>
      </c>
    </row>
    <row r="161" spans="1:8" ht="12.45" customHeight="1" x14ac:dyDescent="0.3">
      <c r="A161" s="2" t="s">
        <v>1473</v>
      </c>
      <c r="B161" s="2">
        <v>58</v>
      </c>
      <c r="C161" s="2">
        <v>3.82</v>
      </c>
      <c r="D161" s="2">
        <v>221.3</v>
      </c>
      <c r="E161" s="6">
        <f t="shared" si="6"/>
        <v>162</v>
      </c>
      <c r="F161" s="6">
        <f t="shared" si="7"/>
        <v>151</v>
      </c>
      <c r="G161" s="2">
        <f t="shared" si="8"/>
        <v>158.69999999999999</v>
      </c>
      <c r="H161" s="7">
        <v>160</v>
      </c>
    </row>
    <row r="162" spans="1:8" ht="12.45" customHeight="1" x14ac:dyDescent="0.3">
      <c r="A162" s="2" t="s">
        <v>1474</v>
      </c>
      <c r="B162" s="2">
        <v>56.5</v>
      </c>
      <c r="C162" s="2">
        <v>3.83</v>
      </c>
      <c r="D162" s="2">
        <v>216.6</v>
      </c>
      <c r="E162" s="6">
        <f t="shared" si="6"/>
        <v>161</v>
      </c>
      <c r="F162" s="6">
        <f t="shared" si="7"/>
        <v>158</v>
      </c>
      <c r="G162" s="2">
        <f t="shared" si="8"/>
        <v>160.1</v>
      </c>
      <c r="H162" s="7">
        <v>161</v>
      </c>
    </row>
    <row r="163" spans="1:8" ht="12.45" customHeight="1" x14ac:dyDescent="0.3">
      <c r="A163" s="2" t="s">
        <v>1475</v>
      </c>
      <c r="B163" s="2">
        <v>60</v>
      </c>
      <c r="C163" s="2">
        <v>3.77</v>
      </c>
      <c r="D163" s="2">
        <v>226.2</v>
      </c>
      <c r="E163" s="6">
        <f t="shared" si="6"/>
        <v>169</v>
      </c>
      <c r="F163" s="6">
        <f t="shared" si="7"/>
        <v>142</v>
      </c>
      <c r="G163" s="2">
        <f t="shared" si="8"/>
        <v>160.9</v>
      </c>
      <c r="H163" s="7">
        <v>162</v>
      </c>
    </row>
    <row r="164" spans="1:8" ht="12.45" customHeight="1" x14ac:dyDescent="0.3">
      <c r="A164" s="2" t="s">
        <v>1476</v>
      </c>
      <c r="B164" s="2">
        <v>52</v>
      </c>
      <c r="C164" s="2">
        <v>3.88</v>
      </c>
      <c r="D164" s="2">
        <v>201.9</v>
      </c>
      <c r="E164" s="6">
        <f t="shared" si="6"/>
        <v>156</v>
      </c>
      <c r="F164" s="6">
        <f t="shared" si="7"/>
        <v>177</v>
      </c>
      <c r="G164" s="2">
        <f t="shared" si="8"/>
        <v>162.29999999999998</v>
      </c>
      <c r="H164" s="7">
        <v>163</v>
      </c>
    </row>
    <row r="165" spans="1:8" ht="12.45" customHeight="1" x14ac:dyDescent="0.3">
      <c r="A165" s="2" t="s">
        <v>1477</v>
      </c>
      <c r="B165" s="2">
        <v>58</v>
      </c>
      <c r="C165" s="2">
        <v>3.78</v>
      </c>
      <c r="D165" s="2">
        <v>219.45</v>
      </c>
      <c r="E165" s="6">
        <f t="shared" si="6"/>
        <v>167</v>
      </c>
      <c r="F165" s="6">
        <f t="shared" si="7"/>
        <v>155</v>
      </c>
      <c r="G165" s="2">
        <f t="shared" si="8"/>
        <v>163.39999999999998</v>
      </c>
      <c r="H165" s="7">
        <v>164</v>
      </c>
    </row>
    <row r="166" spans="1:8" ht="12.45" customHeight="1" x14ac:dyDescent="0.3">
      <c r="A166" s="2" t="s">
        <v>1478</v>
      </c>
      <c r="B166" s="2">
        <v>57</v>
      </c>
      <c r="C166" s="2">
        <v>3.79</v>
      </c>
      <c r="D166" s="2">
        <v>216.15</v>
      </c>
      <c r="E166" s="6">
        <f t="shared" si="6"/>
        <v>165</v>
      </c>
      <c r="F166" s="6">
        <f t="shared" si="7"/>
        <v>160</v>
      </c>
      <c r="G166" s="2">
        <f t="shared" si="8"/>
        <v>163.5</v>
      </c>
      <c r="H166" s="7">
        <v>165</v>
      </c>
    </row>
    <row r="167" spans="1:8" ht="12.45" customHeight="1" x14ac:dyDescent="0.3">
      <c r="A167" s="2" t="s">
        <v>1479</v>
      </c>
      <c r="B167" s="2">
        <v>52.5</v>
      </c>
      <c r="C167" s="2">
        <v>3.86</v>
      </c>
      <c r="D167" s="2">
        <v>202.7</v>
      </c>
      <c r="E167" s="6">
        <f t="shared" si="6"/>
        <v>159</v>
      </c>
      <c r="F167" s="6">
        <f t="shared" si="7"/>
        <v>176</v>
      </c>
      <c r="G167" s="2">
        <f t="shared" si="8"/>
        <v>164.1</v>
      </c>
      <c r="H167" s="7">
        <v>166</v>
      </c>
    </row>
    <row r="168" spans="1:8" ht="12.45" customHeight="1" x14ac:dyDescent="0.3">
      <c r="A168" s="2" t="s">
        <v>1480</v>
      </c>
      <c r="B168" s="2">
        <v>60.5</v>
      </c>
      <c r="C168" s="2">
        <v>3.71</v>
      </c>
      <c r="D168" s="2">
        <v>224.55</v>
      </c>
      <c r="E168" s="6">
        <f t="shared" si="6"/>
        <v>172</v>
      </c>
      <c r="F168" s="6">
        <f t="shared" si="7"/>
        <v>146</v>
      </c>
      <c r="G168" s="2">
        <f t="shared" si="8"/>
        <v>164.2</v>
      </c>
      <c r="H168" s="7">
        <v>167</v>
      </c>
    </row>
    <row r="169" spans="1:8" ht="12.45" customHeight="1" x14ac:dyDescent="0.3">
      <c r="A169" s="2" t="s">
        <v>1481</v>
      </c>
      <c r="B169" s="2">
        <v>55.5</v>
      </c>
      <c r="C169" s="2">
        <v>3.79</v>
      </c>
      <c r="D169" s="2">
        <v>210.15</v>
      </c>
      <c r="E169" s="6">
        <f t="shared" si="6"/>
        <v>165</v>
      </c>
      <c r="F169" s="6">
        <f t="shared" si="7"/>
        <v>169</v>
      </c>
      <c r="G169" s="2">
        <f t="shared" si="8"/>
        <v>166.2</v>
      </c>
      <c r="H169" s="7">
        <v>168</v>
      </c>
    </row>
    <row r="170" spans="1:8" ht="12.45" customHeight="1" x14ac:dyDescent="0.3">
      <c r="A170" s="2" t="s">
        <v>1482</v>
      </c>
      <c r="B170" s="2">
        <v>59</v>
      </c>
      <c r="C170" s="2">
        <v>3.71</v>
      </c>
      <c r="D170" s="2">
        <v>219</v>
      </c>
      <c r="E170" s="6">
        <f t="shared" si="6"/>
        <v>172</v>
      </c>
      <c r="F170" s="6">
        <f t="shared" si="7"/>
        <v>156</v>
      </c>
      <c r="G170" s="2">
        <f t="shared" si="8"/>
        <v>167.2</v>
      </c>
      <c r="H170" s="7">
        <v>169</v>
      </c>
    </row>
    <row r="171" spans="1:8" ht="12.45" customHeight="1" x14ac:dyDescent="0.3">
      <c r="A171" s="2" t="s">
        <v>1483</v>
      </c>
      <c r="B171" s="2">
        <v>51.5</v>
      </c>
      <c r="C171" s="2">
        <v>3.82</v>
      </c>
      <c r="D171" s="2">
        <v>196.95</v>
      </c>
      <c r="E171" s="6">
        <f t="shared" si="6"/>
        <v>162</v>
      </c>
      <c r="F171" s="6">
        <f t="shared" si="7"/>
        <v>185</v>
      </c>
      <c r="G171" s="2">
        <f t="shared" si="8"/>
        <v>168.89999999999998</v>
      </c>
      <c r="H171" s="7">
        <v>170</v>
      </c>
    </row>
    <row r="172" spans="1:8" ht="12.45" customHeight="1" x14ac:dyDescent="0.3">
      <c r="A172" s="2" t="s">
        <v>1484</v>
      </c>
      <c r="B172" s="2">
        <v>48</v>
      </c>
      <c r="C172" s="2">
        <v>3.78</v>
      </c>
      <c r="D172" s="2">
        <v>196.35</v>
      </c>
      <c r="E172" s="6">
        <f t="shared" si="6"/>
        <v>167</v>
      </c>
      <c r="F172" s="6">
        <f t="shared" si="7"/>
        <v>186</v>
      </c>
      <c r="G172" s="2">
        <f t="shared" si="8"/>
        <v>172.7</v>
      </c>
      <c r="H172" s="7">
        <v>171</v>
      </c>
    </row>
    <row r="173" spans="1:8" ht="12.45" customHeight="1" x14ac:dyDescent="0.3">
      <c r="A173" s="2" t="s">
        <v>1485</v>
      </c>
      <c r="B173" s="2">
        <v>53.5</v>
      </c>
      <c r="C173" s="2">
        <v>3.72</v>
      </c>
      <c r="D173" s="2">
        <v>199.2</v>
      </c>
      <c r="E173" s="6">
        <f t="shared" si="6"/>
        <v>170</v>
      </c>
      <c r="F173" s="6">
        <f t="shared" si="7"/>
        <v>180</v>
      </c>
      <c r="G173" s="2">
        <f t="shared" si="8"/>
        <v>173</v>
      </c>
      <c r="H173" s="7">
        <v>172</v>
      </c>
    </row>
    <row r="174" spans="1:8" ht="12.45" customHeight="1" x14ac:dyDescent="0.3">
      <c r="A174" s="2" t="s">
        <v>1486</v>
      </c>
      <c r="B174" s="2">
        <v>58</v>
      </c>
      <c r="C174" s="2">
        <v>3.67</v>
      </c>
      <c r="D174" s="2">
        <v>212.85</v>
      </c>
      <c r="E174" s="6">
        <f t="shared" si="6"/>
        <v>178</v>
      </c>
      <c r="F174" s="6">
        <f t="shared" si="7"/>
        <v>164</v>
      </c>
      <c r="G174" s="2">
        <f t="shared" si="8"/>
        <v>173.79999999999998</v>
      </c>
      <c r="H174" s="7">
        <v>173</v>
      </c>
    </row>
    <row r="175" spans="1:8" ht="12.45" customHeight="1" x14ac:dyDescent="0.3">
      <c r="A175" s="2" t="s">
        <v>1487</v>
      </c>
      <c r="B175" s="2">
        <v>53.5</v>
      </c>
      <c r="C175" s="2">
        <v>3.72</v>
      </c>
      <c r="D175" s="2">
        <v>198.9</v>
      </c>
      <c r="E175" s="6">
        <f t="shared" si="6"/>
        <v>170</v>
      </c>
      <c r="F175" s="6">
        <f t="shared" si="7"/>
        <v>183</v>
      </c>
      <c r="G175" s="2">
        <f t="shared" si="8"/>
        <v>173.89999999999998</v>
      </c>
      <c r="H175" s="7">
        <v>174</v>
      </c>
    </row>
    <row r="176" spans="1:8" ht="12.45" customHeight="1" x14ac:dyDescent="0.3">
      <c r="A176" s="2" t="s">
        <v>1488</v>
      </c>
      <c r="B176" s="2">
        <v>55</v>
      </c>
      <c r="C176" s="2">
        <v>3.69</v>
      </c>
      <c r="D176" s="2">
        <v>203.05</v>
      </c>
      <c r="E176" s="6">
        <f t="shared" si="6"/>
        <v>175</v>
      </c>
      <c r="F176" s="6">
        <f t="shared" si="7"/>
        <v>175</v>
      </c>
      <c r="G176" s="2">
        <f t="shared" si="8"/>
        <v>175</v>
      </c>
      <c r="H176" s="7">
        <v>175</v>
      </c>
    </row>
    <row r="177" spans="1:8" ht="12.45" customHeight="1" x14ac:dyDescent="0.3">
      <c r="A177" s="2" t="s">
        <v>1489</v>
      </c>
      <c r="B177" s="2">
        <v>52.5</v>
      </c>
      <c r="C177" s="2">
        <v>3.71</v>
      </c>
      <c r="D177" s="2">
        <v>194.7</v>
      </c>
      <c r="E177" s="6">
        <f t="shared" si="6"/>
        <v>172</v>
      </c>
      <c r="F177" s="6">
        <f t="shared" si="7"/>
        <v>190</v>
      </c>
      <c r="G177" s="2">
        <f t="shared" si="8"/>
        <v>177.39999999999998</v>
      </c>
      <c r="H177" s="7">
        <v>176</v>
      </c>
    </row>
    <row r="178" spans="1:8" ht="12.45" customHeight="1" x14ac:dyDescent="0.3">
      <c r="A178" s="2" t="s">
        <v>1490</v>
      </c>
      <c r="B178" s="2">
        <v>53.5</v>
      </c>
      <c r="C178" s="2">
        <v>3.69</v>
      </c>
      <c r="D178" s="2">
        <v>197.6</v>
      </c>
      <c r="E178" s="6">
        <f t="shared" si="6"/>
        <v>175</v>
      </c>
      <c r="F178" s="6">
        <f t="shared" si="7"/>
        <v>184</v>
      </c>
      <c r="G178" s="2">
        <f t="shared" si="8"/>
        <v>177.7</v>
      </c>
      <c r="H178" s="7">
        <v>177</v>
      </c>
    </row>
    <row r="179" spans="1:8" ht="12.45" customHeight="1" x14ac:dyDescent="0.3">
      <c r="A179" s="2" t="s">
        <v>1491</v>
      </c>
      <c r="B179" s="2">
        <v>56.5</v>
      </c>
      <c r="C179" s="2">
        <v>3.65</v>
      </c>
      <c r="D179" s="2">
        <v>205.95</v>
      </c>
      <c r="E179" s="6">
        <f t="shared" si="6"/>
        <v>181</v>
      </c>
      <c r="F179" s="6">
        <f t="shared" si="7"/>
        <v>172</v>
      </c>
      <c r="G179" s="2">
        <f t="shared" si="8"/>
        <v>178.29999999999998</v>
      </c>
      <c r="H179" s="7">
        <v>178</v>
      </c>
    </row>
    <row r="180" spans="1:8" ht="12.45" customHeight="1" x14ac:dyDescent="0.3">
      <c r="A180" s="2" t="s">
        <v>1492</v>
      </c>
      <c r="B180" s="2">
        <v>58.5</v>
      </c>
      <c r="C180" s="2">
        <v>3.59</v>
      </c>
      <c r="D180" s="2">
        <v>210.3</v>
      </c>
      <c r="E180" s="6">
        <f t="shared" si="6"/>
        <v>183</v>
      </c>
      <c r="F180" s="6">
        <f t="shared" si="7"/>
        <v>168</v>
      </c>
      <c r="G180" s="2">
        <f t="shared" si="8"/>
        <v>178.5</v>
      </c>
      <c r="H180" s="7">
        <v>179</v>
      </c>
    </row>
    <row r="181" spans="1:8" ht="12.45" customHeight="1" x14ac:dyDescent="0.3">
      <c r="A181" s="2" t="s">
        <v>1493</v>
      </c>
      <c r="B181" s="2">
        <v>60</v>
      </c>
      <c r="C181" s="2">
        <v>3.53</v>
      </c>
      <c r="D181" s="2">
        <v>211.8</v>
      </c>
      <c r="E181" s="6">
        <f t="shared" si="6"/>
        <v>186</v>
      </c>
      <c r="F181" s="6">
        <f t="shared" si="7"/>
        <v>166</v>
      </c>
      <c r="G181" s="2">
        <f t="shared" si="8"/>
        <v>180</v>
      </c>
      <c r="H181" s="7">
        <v>180</v>
      </c>
    </row>
    <row r="182" spans="1:8" ht="12.45" customHeight="1" x14ac:dyDescent="0.3">
      <c r="A182" s="2" t="s">
        <v>1494</v>
      </c>
      <c r="B182" s="2">
        <v>54.5</v>
      </c>
      <c r="C182" s="2">
        <v>3.66</v>
      </c>
      <c r="D182" s="2">
        <v>199.2</v>
      </c>
      <c r="E182" s="6">
        <f t="shared" si="6"/>
        <v>180</v>
      </c>
      <c r="F182" s="6">
        <f t="shared" si="7"/>
        <v>180</v>
      </c>
      <c r="G182" s="2">
        <f t="shared" si="8"/>
        <v>180</v>
      </c>
      <c r="H182" s="7">
        <v>180</v>
      </c>
    </row>
    <row r="183" spans="1:8" ht="12.45" customHeight="1" x14ac:dyDescent="0.3">
      <c r="A183" s="2" t="s">
        <v>1495</v>
      </c>
      <c r="B183" s="2">
        <v>59</v>
      </c>
      <c r="C183" s="2">
        <v>3.52</v>
      </c>
      <c r="D183" s="2">
        <v>207.5</v>
      </c>
      <c r="E183" s="6">
        <f t="shared" si="6"/>
        <v>187</v>
      </c>
      <c r="F183" s="6">
        <f t="shared" si="7"/>
        <v>171</v>
      </c>
      <c r="G183" s="2">
        <f t="shared" si="8"/>
        <v>182.2</v>
      </c>
      <c r="H183" s="7">
        <v>182</v>
      </c>
    </row>
    <row r="184" spans="1:8" ht="12.45" customHeight="1" x14ac:dyDescent="0.3">
      <c r="A184" s="2" t="s">
        <v>1496</v>
      </c>
      <c r="B184" s="2">
        <v>58.5</v>
      </c>
      <c r="C184" s="2">
        <v>3.51</v>
      </c>
      <c r="D184" s="2">
        <v>205.2</v>
      </c>
      <c r="E184" s="6">
        <f t="shared" si="6"/>
        <v>188</v>
      </c>
      <c r="F184" s="6">
        <f t="shared" si="7"/>
        <v>173</v>
      </c>
      <c r="G184" s="2">
        <f t="shared" si="8"/>
        <v>183.5</v>
      </c>
      <c r="H184" s="7">
        <v>183</v>
      </c>
    </row>
    <row r="185" spans="1:8" ht="12.45" customHeight="1" x14ac:dyDescent="0.3">
      <c r="A185" s="2" t="s">
        <v>1497</v>
      </c>
      <c r="B185" s="2">
        <v>56</v>
      </c>
      <c r="C185" s="2">
        <v>3.55</v>
      </c>
      <c r="D185" s="2">
        <v>198.95</v>
      </c>
      <c r="E185" s="6">
        <f t="shared" si="6"/>
        <v>185</v>
      </c>
      <c r="F185" s="6">
        <f t="shared" si="7"/>
        <v>182</v>
      </c>
      <c r="G185" s="2">
        <f t="shared" si="8"/>
        <v>184.1</v>
      </c>
      <c r="H185" s="7">
        <v>184</v>
      </c>
    </row>
    <row r="186" spans="1:8" ht="12.45" customHeight="1" x14ac:dyDescent="0.3">
      <c r="A186" s="2" t="s">
        <v>1498</v>
      </c>
      <c r="B186" s="2">
        <v>50</v>
      </c>
      <c r="C186" s="2">
        <v>3.67</v>
      </c>
      <c r="D186" s="2">
        <v>183.45</v>
      </c>
      <c r="E186" s="6">
        <f t="shared" si="6"/>
        <v>178</v>
      </c>
      <c r="F186" s="6">
        <f t="shared" si="7"/>
        <v>200</v>
      </c>
      <c r="G186" s="2">
        <f t="shared" si="8"/>
        <v>184.6</v>
      </c>
      <c r="H186" s="7">
        <v>185</v>
      </c>
    </row>
    <row r="187" spans="1:8" ht="12.45" customHeight="1" x14ac:dyDescent="0.3">
      <c r="A187" s="2" t="s">
        <v>1499</v>
      </c>
      <c r="B187" s="2">
        <v>62</v>
      </c>
      <c r="C187" s="2">
        <v>3.45</v>
      </c>
      <c r="D187" s="2">
        <v>213.9</v>
      </c>
      <c r="E187" s="6">
        <f t="shared" si="6"/>
        <v>195</v>
      </c>
      <c r="F187" s="6">
        <f t="shared" si="7"/>
        <v>163</v>
      </c>
      <c r="G187" s="2">
        <f t="shared" si="8"/>
        <v>185.4</v>
      </c>
      <c r="H187" s="7">
        <v>186</v>
      </c>
    </row>
    <row r="188" spans="1:8" ht="12.45" customHeight="1" x14ac:dyDescent="0.3">
      <c r="A188" s="2" t="s">
        <v>1500</v>
      </c>
      <c r="B188" s="2">
        <v>57.5</v>
      </c>
      <c r="C188" s="2">
        <v>3.5</v>
      </c>
      <c r="D188" s="2">
        <v>201.45</v>
      </c>
      <c r="E188" s="6">
        <f t="shared" si="6"/>
        <v>189</v>
      </c>
      <c r="F188" s="6">
        <f t="shared" si="7"/>
        <v>178</v>
      </c>
      <c r="G188" s="2">
        <f t="shared" si="8"/>
        <v>185.7</v>
      </c>
      <c r="H188" s="7">
        <v>187</v>
      </c>
    </row>
    <row r="189" spans="1:8" ht="12.45" customHeight="1" x14ac:dyDescent="0.3">
      <c r="A189" s="2" t="s">
        <v>1501</v>
      </c>
      <c r="B189" s="2">
        <v>51.5</v>
      </c>
      <c r="C189" s="2">
        <v>3.6</v>
      </c>
      <c r="D189" s="2">
        <v>185.4</v>
      </c>
      <c r="E189" s="6">
        <f t="shared" si="6"/>
        <v>182</v>
      </c>
      <c r="F189" s="6">
        <f t="shared" si="7"/>
        <v>197</v>
      </c>
      <c r="G189" s="2">
        <f t="shared" si="8"/>
        <v>186.5</v>
      </c>
      <c r="H189" s="7">
        <v>188</v>
      </c>
    </row>
    <row r="190" spans="1:8" ht="12.45" customHeight="1" x14ac:dyDescent="0.3">
      <c r="A190" s="2" t="s">
        <v>1502</v>
      </c>
      <c r="B190" s="2">
        <v>54</v>
      </c>
      <c r="C190" s="2">
        <v>3.58</v>
      </c>
      <c r="D190" s="2">
        <v>193.05</v>
      </c>
      <c r="E190" s="6">
        <f t="shared" si="6"/>
        <v>184</v>
      </c>
      <c r="F190" s="6">
        <f t="shared" si="7"/>
        <v>193</v>
      </c>
      <c r="G190" s="2">
        <f t="shared" si="8"/>
        <v>186.7</v>
      </c>
      <c r="H190" s="7">
        <v>189</v>
      </c>
    </row>
    <row r="191" spans="1:8" ht="12.45" customHeight="1" x14ac:dyDescent="0.3">
      <c r="A191" s="2" t="s">
        <v>1503</v>
      </c>
      <c r="B191" s="2">
        <v>58</v>
      </c>
      <c r="C191" s="2">
        <v>3.46</v>
      </c>
      <c r="D191" s="2">
        <v>200.9</v>
      </c>
      <c r="E191" s="6">
        <f t="shared" si="6"/>
        <v>193</v>
      </c>
      <c r="F191" s="6">
        <f t="shared" si="7"/>
        <v>179</v>
      </c>
      <c r="G191" s="2">
        <f t="shared" si="8"/>
        <v>188.79999999999998</v>
      </c>
      <c r="H191" s="7">
        <v>190</v>
      </c>
    </row>
    <row r="192" spans="1:8" ht="12.45" customHeight="1" x14ac:dyDescent="0.3">
      <c r="A192" s="2" t="s">
        <v>1504</v>
      </c>
      <c r="B192" s="2">
        <v>27.5</v>
      </c>
      <c r="C192" s="2">
        <v>3.68</v>
      </c>
      <c r="D192" s="2">
        <v>101.25</v>
      </c>
      <c r="E192" s="6">
        <f t="shared" si="6"/>
        <v>177</v>
      </c>
      <c r="F192" s="6">
        <f t="shared" si="7"/>
        <v>223</v>
      </c>
      <c r="G192" s="2">
        <f t="shared" si="8"/>
        <v>190.79999999999998</v>
      </c>
      <c r="H192" s="7">
        <v>191</v>
      </c>
    </row>
    <row r="193" spans="1:8" ht="12.45" customHeight="1" x14ac:dyDescent="0.3">
      <c r="A193" s="2" t="s">
        <v>1505</v>
      </c>
      <c r="B193" s="2">
        <v>55.5</v>
      </c>
      <c r="C193" s="2">
        <v>3.49</v>
      </c>
      <c r="D193" s="2">
        <v>193.55</v>
      </c>
      <c r="E193" s="6">
        <f t="shared" si="6"/>
        <v>191</v>
      </c>
      <c r="F193" s="6">
        <f t="shared" si="7"/>
        <v>191</v>
      </c>
      <c r="G193" s="2">
        <f t="shared" si="8"/>
        <v>191</v>
      </c>
      <c r="H193" s="7">
        <v>192</v>
      </c>
    </row>
    <row r="194" spans="1:8" ht="12.45" customHeight="1" x14ac:dyDescent="0.3">
      <c r="A194" s="2" t="s">
        <v>1506</v>
      </c>
      <c r="B194" s="2">
        <v>51.5</v>
      </c>
      <c r="C194" s="2">
        <v>3.49</v>
      </c>
      <c r="D194" s="2">
        <v>193.55</v>
      </c>
      <c r="E194" s="6">
        <f t="shared" ref="E194:E225" si="9">_xlfn.RANK.EQ(C194,C:C,0)</f>
        <v>191</v>
      </c>
      <c r="F194" s="6">
        <f t="shared" ref="F194:F225" si="10">_xlfn.RANK.EQ(D194,D:D,0)</f>
        <v>191</v>
      </c>
      <c r="G194" s="2">
        <f t="shared" ref="G194:G225" si="11">E194*0.7+F194*0.3</f>
        <v>191</v>
      </c>
      <c r="H194" s="7">
        <v>192</v>
      </c>
    </row>
    <row r="195" spans="1:8" ht="12.45" customHeight="1" x14ac:dyDescent="0.3">
      <c r="A195" s="2" t="s">
        <v>1507</v>
      </c>
      <c r="B195" s="2">
        <v>51.5</v>
      </c>
      <c r="C195" s="2">
        <v>3.5</v>
      </c>
      <c r="D195" s="2">
        <v>180.5</v>
      </c>
      <c r="E195" s="6">
        <f t="shared" si="9"/>
        <v>189</v>
      </c>
      <c r="F195" s="6">
        <f t="shared" si="10"/>
        <v>202</v>
      </c>
      <c r="G195" s="2">
        <f t="shared" si="11"/>
        <v>192.89999999999998</v>
      </c>
      <c r="H195" s="7">
        <v>194</v>
      </c>
    </row>
    <row r="196" spans="1:8" ht="12.45" customHeight="1" x14ac:dyDescent="0.3">
      <c r="A196" s="2" t="s">
        <v>1508</v>
      </c>
      <c r="B196" s="2">
        <v>54.5</v>
      </c>
      <c r="C196" s="2">
        <v>3.46</v>
      </c>
      <c r="D196" s="2">
        <v>188.3</v>
      </c>
      <c r="E196" s="6">
        <f t="shared" si="9"/>
        <v>193</v>
      </c>
      <c r="F196" s="6">
        <f t="shared" si="10"/>
        <v>195</v>
      </c>
      <c r="G196" s="2">
        <f t="shared" si="11"/>
        <v>193.6</v>
      </c>
      <c r="H196" s="7">
        <v>195</v>
      </c>
    </row>
    <row r="197" spans="1:8" ht="12.45" customHeight="1" x14ac:dyDescent="0.3">
      <c r="A197" s="2" t="s">
        <v>1509</v>
      </c>
      <c r="B197" s="2">
        <v>53</v>
      </c>
      <c r="C197" s="2">
        <v>3.44</v>
      </c>
      <c r="D197" s="2">
        <v>192.75</v>
      </c>
      <c r="E197" s="6">
        <f t="shared" si="9"/>
        <v>196</v>
      </c>
      <c r="F197" s="6">
        <f t="shared" si="10"/>
        <v>194</v>
      </c>
      <c r="G197" s="2">
        <f t="shared" si="11"/>
        <v>195.39999999999998</v>
      </c>
      <c r="H197" s="7">
        <v>196</v>
      </c>
    </row>
    <row r="198" spans="1:8" ht="12.45" customHeight="1" x14ac:dyDescent="0.3">
      <c r="A198" s="2" t="s">
        <v>1510</v>
      </c>
      <c r="B198" s="2">
        <v>52.5</v>
      </c>
      <c r="C198" s="2">
        <v>3.35</v>
      </c>
      <c r="D198" s="2">
        <v>195.95</v>
      </c>
      <c r="E198" s="6">
        <f t="shared" si="9"/>
        <v>199</v>
      </c>
      <c r="F198" s="6">
        <f t="shared" si="10"/>
        <v>189</v>
      </c>
      <c r="G198" s="2">
        <f t="shared" si="11"/>
        <v>195.99999999999997</v>
      </c>
      <c r="H198" s="7">
        <v>197</v>
      </c>
    </row>
    <row r="199" spans="1:8" ht="12.45" customHeight="1" x14ac:dyDescent="0.3">
      <c r="A199" s="2" t="s">
        <v>1511</v>
      </c>
      <c r="B199" s="2">
        <v>54.5</v>
      </c>
      <c r="C199" s="2">
        <v>3.41</v>
      </c>
      <c r="D199" s="2">
        <v>186</v>
      </c>
      <c r="E199" s="6">
        <f t="shared" si="9"/>
        <v>197</v>
      </c>
      <c r="F199" s="6">
        <f t="shared" si="10"/>
        <v>196</v>
      </c>
      <c r="G199" s="2">
        <f t="shared" si="11"/>
        <v>196.7</v>
      </c>
      <c r="H199" s="7">
        <v>198</v>
      </c>
    </row>
    <row r="200" spans="1:8" ht="12.45" customHeight="1" x14ac:dyDescent="0.3">
      <c r="A200" s="2" t="s">
        <v>1512</v>
      </c>
      <c r="B200" s="2">
        <v>57</v>
      </c>
      <c r="C200" s="2">
        <v>3.27</v>
      </c>
      <c r="D200" s="2">
        <v>196.2</v>
      </c>
      <c r="E200" s="6">
        <f t="shared" si="9"/>
        <v>202</v>
      </c>
      <c r="F200" s="6">
        <f t="shared" si="10"/>
        <v>187</v>
      </c>
      <c r="G200" s="2">
        <f t="shared" si="11"/>
        <v>197.49999999999997</v>
      </c>
      <c r="H200" s="7">
        <v>199</v>
      </c>
    </row>
    <row r="201" spans="1:8" ht="12.45" customHeight="1" x14ac:dyDescent="0.3">
      <c r="A201" s="2" t="s">
        <v>1513</v>
      </c>
      <c r="B201" s="2">
        <v>60.5</v>
      </c>
      <c r="C201" s="2">
        <v>3.24</v>
      </c>
      <c r="D201" s="2">
        <v>196.05</v>
      </c>
      <c r="E201" s="6">
        <f t="shared" si="9"/>
        <v>204</v>
      </c>
      <c r="F201" s="6">
        <f t="shared" si="10"/>
        <v>188</v>
      </c>
      <c r="G201" s="2">
        <f t="shared" si="11"/>
        <v>199.2</v>
      </c>
      <c r="H201" s="7">
        <v>200</v>
      </c>
    </row>
    <row r="202" spans="1:8" ht="12.45" customHeight="1" x14ac:dyDescent="0.3">
      <c r="A202" s="2" t="s">
        <v>1514</v>
      </c>
      <c r="B202" s="2">
        <v>52</v>
      </c>
      <c r="C202" s="2">
        <v>3.35</v>
      </c>
      <c r="D202" s="2">
        <v>174.45</v>
      </c>
      <c r="E202" s="6">
        <f t="shared" si="9"/>
        <v>199</v>
      </c>
      <c r="F202" s="6">
        <f t="shared" si="10"/>
        <v>205</v>
      </c>
      <c r="G202" s="2">
        <f t="shared" si="11"/>
        <v>200.79999999999998</v>
      </c>
      <c r="H202" s="7">
        <v>201</v>
      </c>
    </row>
    <row r="203" spans="1:8" ht="12.45" customHeight="1" x14ac:dyDescent="0.3">
      <c r="A203" s="2" t="s">
        <v>1515</v>
      </c>
      <c r="B203" s="2">
        <v>53.5</v>
      </c>
      <c r="C203" s="2">
        <v>3.27</v>
      </c>
      <c r="D203" s="2">
        <v>184.8</v>
      </c>
      <c r="E203" s="6">
        <f t="shared" si="9"/>
        <v>202</v>
      </c>
      <c r="F203" s="6">
        <f t="shared" si="10"/>
        <v>198</v>
      </c>
      <c r="G203" s="2">
        <f t="shared" si="11"/>
        <v>200.79999999999998</v>
      </c>
      <c r="H203" s="7">
        <v>201</v>
      </c>
    </row>
    <row r="204" spans="1:8" ht="12.45" customHeight="1" x14ac:dyDescent="0.3">
      <c r="A204" s="2" t="s">
        <v>1516</v>
      </c>
      <c r="B204" s="2">
        <v>49.5</v>
      </c>
      <c r="C204" s="2">
        <v>3.4</v>
      </c>
      <c r="D204" s="2">
        <v>168.15</v>
      </c>
      <c r="E204" s="6">
        <f t="shared" si="9"/>
        <v>198</v>
      </c>
      <c r="F204" s="6">
        <f t="shared" si="10"/>
        <v>210</v>
      </c>
      <c r="G204" s="2">
        <f t="shared" si="11"/>
        <v>201.6</v>
      </c>
      <c r="H204" s="7">
        <v>203</v>
      </c>
    </row>
    <row r="205" spans="1:8" ht="12.45" customHeight="1" x14ac:dyDescent="0.3">
      <c r="A205" s="2" t="s">
        <v>1517</v>
      </c>
      <c r="B205" s="2">
        <v>51.5</v>
      </c>
      <c r="C205" s="2">
        <v>3.29</v>
      </c>
      <c r="D205" s="2">
        <v>169.3</v>
      </c>
      <c r="E205" s="6">
        <f t="shared" si="9"/>
        <v>201</v>
      </c>
      <c r="F205" s="6">
        <f t="shared" si="10"/>
        <v>209</v>
      </c>
      <c r="G205" s="2">
        <f t="shared" si="11"/>
        <v>203.39999999999998</v>
      </c>
      <c r="H205" s="7">
        <v>204</v>
      </c>
    </row>
    <row r="206" spans="1:8" ht="12.45" customHeight="1" x14ac:dyDescent="0.3">
      <c r="A206" s="2" t="s">
        <v>1518</v>
      </c>
      <c r="B206" s="2">
        <v>54.5</v>
      </c>
      <c r="C206" s="2">
        <v>3.2</v>
      </c>
      <c r="D206" s="2">
        <v>183.9</v>
      </c>
      <c r="E206" s="6">
        <f t="shared" si="9"/>
        <v>206</v>
      </c>
      <c r="F206" s="6">
        <f t="shared" si="10"/>
        <v>199</v>
      </c>
      <c r="G206" s="2">
        <f t="shared" si="11"/>
        <v>203.89999999999998</v>
      </c>
      <c r="H206" s="7">
        <v>205</v>
      </c>
    </row>
    <row r="207" spans="1:8" ht="12.45" customHeight="1" x14ac:dyDescent="0.3">
      <c r="A207" s="2" t="s">
        <v>1519</v>
      </c>
      <c r="B207" s="2">
        <v>55</v>
      </c>
      <c r="C207" s="2">
        <v>3.21</v>
      </c>
      <c r="D207" s="2">
        <v>176.7</v>
      </c>
      <c r="E207" s="6">
        <f t="shared" si="9"/>
        <v>205</v>
      </c>
      <c r="F207" s="6">
        <f t="shared" si="10"/>
        <v>204</v>
      </c>
      <c r="G207" s="2">
        <f t="shared" si="11"/>
        <v>204.7</v>
      </c>
      <c r="H207" s="7">
        <v>206</v>
      </c>
    </row>
    <row r="208" spans="1:8" ht="12.45" customHeight="1" x14ac:dyDescent="0.3">
      <c r="A208" s="2" t="s">
        <v>1520</v>
      </c>
      <c r="B208" s="2">
        <v>53</v>
      </c>
      <c r="C208" s="2">
        <v>3.18</v>
      </c>
      <c r="D208" s="2">
        <v>181.45</v>
      </c>
      <c r="E208" s="6">
        <f t="shared" si="9"/>
        <v>208</v>
      </c>
      <c r="F208" s="6">
        <f t="shared" si="10"/>
        <v>201</v>
      </c>
      <c r="G208" s="2">
        <f t="shared" si="11"/>
        <v>205.89999999999998</v>
      </c>
      <c r="H208" s="7">
        <v>207</v>
      </c>
    </row>
    <row r="209" spans="1:8" ht="12.45" customHeight="1" x14ac:dyDescent="0.3">
      <c r="A209" s="2" t="s">
        <v>1521</v>
      </c>
      <c r="B209" s="2">
        <v>53.5</v>
      </c>
      <c r="C209" s="2">
        <v>3.2</v>
      </c>
      <c r="D209" s="2">
        <v>171.05</v>
      </c>
      <c r="E209" s="6">
        <f t="shared" si="9"/>
        <v>206</v>
      </c>
      <c r="F209" s="6">
        <f t="shared" si="10"/>
        <v>207</v>
      </c>
      <c r="G209" s="2">
        <f t="shared" si="11"/>
        <v>206.29999999999998</v>
      </c>
      <c r="H209" s="7">
        <v>208</v>
      </c>
    </row>
    <row r="210" spans="1:8" ht="12.45" customHeight="1" x14ac:dyDescent="0.3">
      <c r="A210" s="2" t="s">
        <v>1522</v>
      </c>
      <c r="B210" s="2">
        <v>53.5</v>
      </c>
      <c r="C210" s="2">
        <v>3.17</v>
      </c>
      <c r="D210" s="2">
        <v>169.65</v>
      </c>
      <c r="E210" s="6">
        <f t="shared" si="9"/>
        <v>209</v>
      </c>
      <c r="F210" s="6">
        <f t="shared" si="10"/>
        <v>208</v>
      </c>
      <c r="G210" s="2">
        <f t="shared" si="11"/>
        <v>208.7</v>
      </c>
      <c r="H210" s="7">
        <v>209</v>
      </c>
    </row>
    <row r="211" spans="1:8" ht="12.45" customHeight="1" x14ac:dyDescent="0.3">
      <c r="A211" s="2" t="s">
        <v>1523</v>
      </c>
      <c r="B211" s="2">
        <v>51</v>
      </c>
      <c r="C211" s="2">
        <v>3.15</v>
      </c>
      <c r="D211" s="2">
        <v>173.25</v>
      </c>
      <c r="E211" s="6">
        <f t="shared" si="9"/>
        <v>210</v>
      </c>
      <c r="F211" s="6">
        <f t="shared" si="10"/>
        <v>206</v>
      </c>
      <c r="G211" s="2">
        <f t="shared" si="11"/>
        <v>208.8</v>
      </c>
      <c r="H211" s="7">
        <v>210</v>
      </c>
    </row>
    <row r="212" spans="1:8" ht="12.45" customHeight="1" x14ac:dyDescent="0.3">
      <c r="A212" s="2" t="s">
        <v>1524</v>
      </c>
      <c r="B212" s="2">
        <v>52.5</v>
      </c>
      <c r="C212" s="2">
        <v>3.01</v>
      </c>
      <c r="D212" s="2">
        <v>178.95</v>
      </c>
      <c r="E212" s="6">
        <f t="shared" si="9"/>
        <v>212</v>
      </c>
      <c r="F212" s="6">
        <f t="shared" si="10"/>
        <v>203</v>
      </c>
      <c r="G212" s="2">
        <f t="shared" si="11"/>
        <v>209.29999999999998</v>
      </c>
      <c r="H212" s="7">
        <v>211</v>
      </c>
    </row>
    <row r="213" spans="1:8" ht="12.45" customHeight="1" x14ac:dyDescent="0.3">
      <c r="A213" s="2" t="s">
        <v>1525</v>
      </c>
      <c r="B213" s="2">
        <v>53.5</v>
      </c>
      <c r="C213" s="2">
        <v>3.09</v>
      </c>
      <c r="D213" s="2">
        <v>165.3</v>
      </c>
      <c r="E213" s="6">
        <f t="shared" si="9"/>
        <v>211</v>
      </c>
      <c r="F213" s="6">
        <f t="shared" si="10"/>
        <v>211</v>
      </c>
      <c r="G213" s="2">
        <f t="shared" si="11"/>
        <v>211</v>
      </c>
      <c r="H213" s="7">
        <v>212</v>
      </c>
    </row>
    <row r="214" spans="1:8" ht="12.45" customHeight="1" x14ac:dyDescent="0.3">
      <c r="A214" s="2" t="s">
        <v>1526</v>
      </c>
      <c r="B214" s="2">
        <v>53.5</v>
      </c>
      <c r="C214" s="2">
        <v>2.97</v>
      </c>
      <c r="D214" s="2">
        <v>158.69999999999999</v>
      </c>
      <c r="E214" s="6">
        <f t="shared" si="9"/>
        <v>213</v>
      </c>
      <c r="F214" s="6">
        <f t="shared" si="10"/>
        <v>214</v>
      </c>
      <c r="G214" s="2">
        <f t="shared" si="11"/>
        <v>213.3</v>
      </c>
      <c r="H214" s="7">
        <v>213</v>
      </c>
    </row>
    <row r="215" spans="1:8" ht="12.45" customHeight="1" x14ac:dyDescent="0.3">
      <c r="A215" s="2" t="s">
        <v>1527</v>
      </c>
      <c r="B215" s="2">
        <v>52</v>
      </c>
      <c r="C215" s="2">
        <v>2.94</v>
      </c>
      <c r="D215" s="2">
        <v>164.85</v>
      </c>
      <c r="E215" s="6">
        <f t="shared" si="9"/>
        <v>214</v>
      </c>
      <c r="F215" s="6">
        <f t="shared" si="10"/>
        <v>212</v>
      </c>
      <c r="G215" s="2">
        <f t="shared" si="11"/>
        <v>213.39999999999998</v>
      </c>
      <c r="H215" s="7">
        <v>214</v>
      </c>
    </row>
    <row r="216" spans="1:8" ht="12.45" customHeight="1" x14ac:dyDescent="0.3">
      <c r="A216" s="2" t="s">
        <v>1528</v>
      </c>
      <c r="B216" s="2">
        <v>46.5</v>
      </c>
      <c r="C216" s="2">
        <v>2.91</v>
      </c>
      <c r="D216" s="2">
        <v>158.69999999999999</v>
      </c>
      <c r="E216" s="6">
        <f t="shared" si="9"/>
        <v>215</v>
      </c>
      <c r="F216" s="6">
        <f t="shared" si="10"/>
        <v>214</v>
      </c>
      <c r="G216" s="2">
        <f t="shared" si="11"/>
        <v>214.7</v>
      </c>
      <c r="H216" s="7">
        <v>215</v>
      </c>
    </row>
    <row r="217" spans="1:8" ht="12.45" customHeight="1" x14ac:dyDescent="0.3">
      <c r="A217" s="2" t="s">
        <v>1529</v>
      </c>
      <c r="B217" s="2">
        <v>48</v>
      </c>
      <c r="C217" s="2">
        <v>2.9</v>
      </c>
      <c r="D217" s="2">
        <v>150.75</v>
      </c>
      <c r="E217" s="6">
        <f t="shared" si="9"/>
        <v>216</v>
      </c>
      <c r="F217" s="6">
        <f t="shared" si="10"/>
        <v>217</v>
      </c>
      <c r="G217" s="2">
        <f t="shared" si="11"/>
        <v>216.29999999999998</v>
      </c>
      <c r="H217" s="7">
        <v>216</v>
      </c>
    </row>
    <row r="218" spans="1:8" ht="12.45" customHeight="1" x14ac:dyDescent="0.3">
      <c r="A218" s="2" t="s">
        <v>1530</v>
      </c>
      <c r="B218" s="2">
        <v>51</v>
      </c>
      <c r="C218" s="2">
        <v>2.84</v>
      </c>
      <c r="D218" s="2">
        <v>162.15</v>
      </c>
      <c r="E218" s="6">
        <f t="shared" si="9"/>
        <v>218</v>
      </c>
      <c r="F218" s="6">
        <f t="shared" si="10"/>
        <v>213</v>
      </c>
      <c r="G218" s="2">
        <f t="shared" si="11"/>
        <v>216.5</v>
      </c>
      <c r="H218" s="7">
        <v>217</v>
      </c>
    </row>
    <row r="219" spans="1:8" ht="12.45" customHeight="1" x14ac:dyDescent="0.3">
      <c r="A219" s="2" t="s">
        <v>1531</v>
      </c>
      <c r="B219" s="2">
        <v>44.5</v>
      </c>
      <c r="C219" s="2">
        <v>2.85</v>
      </c>
      <c r="D219" s="2">
        <v>149.75</v>
      </c>
      <c r="E219" s="6">
        <f t="shared" si="9"/>
        <v>217</v>
      </c>
      <c r="F219" s="6">
        <f t="shared" si="10"/>
        <v>218</v>
      </c>
      <c r="G219" s="2">
        <f t="shared" si="11"/>
        <v>217.29999999999995</v>
      </c>
      <c r="H219" s="7">
        <v>218</v>
      </c>
    </row>
    <row r="220" spans="1:8" ht="12.45" customHeight="1" x14ac:dyDescent="0.3">
      <c r="A220" s="2" t="s">
        <v>1532</v>
      </c>
      <c r="B220" s="2">
        <v>55</v>
      </c>
      <c r="C220" s="2">
        <v>2.7</v>
      </c>
      <c r="D220" s="2">
        <v>156.44999999999999</v>
      </c>
      <c r="E220" s="6">
        <f t="shared" si="9"/>
        <v>220</v>
      </c>
      <c r="F220" s="6">
        <f t="shared" si="10"/>
        <v>216</v>
      </c>
      <c r="G220" s="2">
        <f t="shared" si="11"/>
        <v>218.8</v>
      </c>
      <c r="H220" s="7">
        <v>219</v>
      </c>
    </row>
    <row r="221" spans="1:8" ht="12.45" customHeight="1" x14ac:dyDescent="0.3">
      <c r="A221" s="2" t="s">
        <v>1533</v>
      </c>
      <c r="B221" s="2">
        <v>49</v>
      </c>
      <c r="C221" s="2">
        <v>2.81</v>
      </c>
      <c r="D221" s="2">
        <v>145.94999999999999</v>
      </c>
      <c r="E221" s="6">
        <f t="shared" si="9"/>
        <v>219</v>
      </c>
      <c r="F221" s="6">
        <f t="shared" si="10"/>
        <v>219</v>
      </c>
      <c r="G221" s="2">
        <f t="shared" si="11"/>
        <v>219</v>
      </c>
      <c r="H221" s="7">
        <v>220</v>
      </c>
    </row>
    <row r="222" spans="1:8" ht="12.45" customHeight="1" x14ac:dyDescent="0.3">
      <c r="A222" s="2" t="s">
        <v>1534</v>
      </c>
      <c r="B222" s="2">
        <v>40</v>
      </c>
      <c r="C222" s="2">
        <v>2.4900000000000002</v>
      </c>
      <c r="D222" s="2">
        <v>124.65</v>
      </c>
      <c r="E222" s="6">
        <f t="shared" si="9"/>
        <v>221</v>
      </c>
      <c r="F222" s="6">
        <f t="shared" si="10"/>
        <v>221</v>
      </c>
      <c r="G222" s="2">
        <f t="shared" si="11"/>
        <v>221</v>
      </c>
      <c r="H222" s="7">
        <v>221</v>
      </c>
    </row>
    <row r="223" spans="1:8" ht="12.45" customHeight="1" x14ac:dyDescent="0.3">
      <c r="A223" s="2" t="s">
        <v>1535</v>
      </c>
      <c r="B223" s="2">
        <v>44</v>
      </c>
      <c r="C223" s="2">
        <v>2.31</v>
      </c>
      <c r="D223" s="2">
        <v>133.05000000000001</v>
      </c>
      <c r="E223" s="6">
        <f t="shared" si="9"/>
        <v>222</v>
      </c>
      <c r="F223" s="6">
        <f t="shared" si="10"/>
        <v>220</v>
      </c>
      <c r="G223" s="2">
        <f t="shared" si="11"/>
        <v>221.39999999999998</v>
      </c>
      <c r="H223" s="7">
        <v>222</v>
      </c>
    </row>
    <row r="224" spans="1:8" ht="12.45" customHeight="1" x14ac:dyDescent="0.3">
      <c r="A224" s="2" t="s">
        <v>1536</v>
      </c>
      <c r="B224" s="2">
        <v>34</v>
      </c>
      <c r="C224" s="2">
        <v>2.1800000000000002</v>
      </c>
      <c r="D224" s="2">
        <v>117.75</v>
      </c>
      <c r="E224" s="6">
        <f t="shared" si="9"/>
        <v>223</v>
      </c>
      <c r="F224" s="6">
        <f t="shared" si="10"/>
        <v>222</v>
      </c>
      <c r="G224" s="2">
        <f t="shared" si="11"/>
        <v>222.7</v>
      </c>
      <c r="H224" s="7">
        <v>223</v>
      </c>
    </row>
    <row r="225" spans="1:8" ht="12.45" customHeight="1" x14ac:dyDescent="0.3">
      <c r="A225" s="2" t="s">
        <v>1537</v>
      </c>
      <c r="B225" s="2">
        <v>37</v>
      </c>
      <c r="C225" s="2">
        <v>1.85</v>
      </c>
      <c r="D225" s="2">
        <v>94.25</v>
      </c>
      <c r="E225" s="6">
        <f t="shared" si="9"/>
        <v>224</v>
      </c>
      <c r="F225" s="6">
        <f t="shared" si="10"/>
        <v>224</v>
      </c>
      <c r="G225" s="2">
        <f t="shared" si="11"/>
        <v>224</v>
      </c>
      <c r="H225" s="7">
        <v>224</v>
      </c>
    </row>
  </sheetData>
  <autoFilter ref="A1:H225" xr:uid="{129FA444-BFC9-469B-AC96-7A7A0C1A47CD}">
    <sortState xmlns:xlrd2="http://schemas.microsoft.com/office/spreadsheetml/2017/richdata2" ref="A3:H225">
      <sortCondition ref="H2:H225"/>
    </sortState>
  </autoFilter>
  <sortState xmlns:xlrd2="http://schemas.microsoft.com/office/spreadsheetml/2017/richdata2" ref="A2:H226">
    <sortCondition ref="H1:H226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4B88-BCF4-4A67-AA2C-9C2E252B27A1}">
  <sheetPr>
    <outlinePr summaryBelow="0" summaryRight="0"/>
  </sheetPr>
  <dimension ref="A1:H110"/>
  <sheetViews>
    <sheetView zoomScaleNormal="100" workbookViewId="0">
      <selection activeCell="K11" sqref="K11"/>
    </sheetView>
  </sheetViews>
  <sheetFormatPr defaultColWidth="8.6328125" defaultRowHeight="12.45" customHeight="1" x14ac:dyDescent="0.3"/>
  <cols>
    <col min="1" max="1" width="11.90625" style="8" customWidth="1"/>
    <col min="2" max="2" width="7.54296875" style="8" customWidth="1"/>
    <col min="3" max="3" width="10.453125" style="8" customWidth="1"/>
    <col min="4" max="4" width="7.54296875" style="8" customWidth="1"/>
    <col min="5" max="5" width="9.90625" style="8" customWidth="1"/>
    <col min="6" max="6" width="9.08984375" style="8" customWidth="1"/>
    <col min="7" max="7" width="11.36328125" style="8" customWidth="1"/>
    <col min="8" max="8" width="8.1796875" style="8" customWidth="1"/>
    <col min="9" max="16384" width="8.6328125" style="5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1538</v>
      </c>
      <c r="B2" s="2">
        <v>62.5</v>
      </c>
      <c r="C2" s="2">
        <v>4.7</v>
      </c>
      <c r="D2" s="2">
        <v>293.95</v>
      </c>
      <c r="E2" s="6">
        <f t="shared" ref="E2:E33" si="0">_xlfn.RANK.EQ(C2,C:C,0)</f>
        <v>2</v>
      </c>
      <c r="F2" s="6">
        <f t="shared" ref="F2:F33" si="1">_xlfn.RANK.EQ(D2,D:D,0)</f>
        <v>1</v>
      </c>
      <c r="G2" s="2">
        <f t="shared" ref="G2:G33" si="2">E2*0.7+F2*0.3</f>
        <v>1.7</v>
      </c>
      <c r="H2" s="7">
        <v>1</v>
      </c>
    </row>
    <row r="3" spans="1:8" ht="12.45" customHeight="1" x14ac:dyDescent="0.3">
      <c r="A3" s="2" t="s">
        <v>1539</v>
      </c>
      <c r="B3" s="2">
        <v>57</v>
      </c>
      <c r="C3" s="2">
        <v>4.7300000000000004</v>
      </c>
      <c r="D3" s="2">
        <v>269.85000000000002</v>
      </c>
      <c r="E3" s="6">
        <f t="shared" si="0"/>
        <v>1</v>
      </c>
      <c r="F3" s="6">
        <f t="shared" si="1"/>
        <v>8</v>
      </c>
      <c r="G3" s="2">
        <f t="shared" si="2"/>
        <v>3.0999999999999996</v>
      </c>
      <c r="H3" s="7">
        <v>2</v>
      </c>
    </row>
    <row r="4" spans="1:8" ht="12.45" customHeight="1" x14ac:dyDescent="0.3">
      <c r="A4" s="2" t="s">
        <v>1540</v>
      </c>
      <c r="B4" s="2">
        <v>60.5</v>
      </c>
      <c r="C4" s="2">
        <v>4.68</v>
      </c>
      <c r="D4" s="2">
        <v>283.25</v>
      </c>
      <c r="E4" s="6">
        <f t="shared" si="0"/>
        <v>3</v>
      </c>
      <c r="F4" s="6">
        <f t="shared" si="1"/>
        <v>5</v>
      </c>
      <c r="G4" s="2">
        <f t="shared" si="2"/>
        <v>3.5999999999999996</v>
      </c>
      <c r="H4" s="7">
        <v>3</v>
      </c>
    </row>
    <row r="5" spans="1:8" ht="12.45" customHeight="1" x14ac:dyDescent="0.3">
      <c r="A5" s="2" t="s">
        <v>1541</v>
      </c>
      <c r="B5" s="2">
        <v>61.5</v>
      </c>
      <c r="C5" s="2">
        <v>4.6500000000000004</v>
      </c>
      <c r="D5" s="2">
        <v>286.14999999999998</v>
      </c>
      <c r="E5" s="6">
        <f t="shared" si="0"/>
        <v>5</v>
      </c>
      <c r="F5" s="6">
        <f t="shared" si="1"/>
        <v>4</v>
      </c>
      <c r="G5" s="2">
        <f t="shared" si="2"/>
        <v>4.7</v>
      </c>
      <c r="H5" s="7">
        <v>4</v>
      </c>
    </row>
    <row r="6" spans="1:8" ht="12.45" customHeight="1" x14ac:dyDescent="0.3">
      <c r="A6" s="2" t="s">
        <v>1542</v>
      </c>
      <c r="B6" s="2">
        <v>57</v>
      </c>
      <c r="C6" s="2">
        <v>4.67</v>
      </c>
      <c r="D6" s="2">
        <v>266.14999999999998</v>
      </c>
      <c r="E6" s="6">
        <f t="shared" si="0"/>
        <v>4</v>
      </c>
      <c r="F6" s="6">
        <f t="shared" si="1"/>
        <v>9</v>
      </c>
      <c r="G6" s="2">
        <f t="shared" si="2"/>
        <v>5.5</v>
      </c>
      <c r="H6" s="7">
        <v>5</v>
      </c>
    </row>
    <row r="7" spans="1:8" ht="12.45" customHeight="1" x14ac:dyDescent="0.3">
      <c r="A7" s="2" t="s">
        <v>1543</v>
      </c>
      <c r="B7" s="2">
        <v>63</v>
      </c>
      <c r="C7" s="2">
        <v>4.59</v>
      </c>
      <c r="D7" s="2">
        <v>288.95</v>
      </c>
      <c r="E7" s="6">
        <f t="shared" si="0"/>
        <v>8</v>
      </c>
      <c r="F7" s="6">
        <f t="shared" si="1"/>
        <v>3</v>
      </c>
      <c r="G7" s="2">
        <f t="shared" si="2"/>
        <v>6.5</v>
      </c>
      <c r="H7" s="7">
        <v>6</v>
      </c>
    </row>
    <row r="8" spans="1:8" ht="12.45" customHeight="1" x14ac:dyDescent="0.3">
      <c r="A8" s="2" t="s">
        <v>1544</v>
      </c>
      <c r="B8" s="2">
        <v>64.5</v>
      </c>
      <c r="C8" s="2">
        <v>4.53</v>
      </c>
      <c r="D8" s="2">
        <v>292.2</v>
      </c>
      <c r="E8" s="6">
        <f t="shared" si="0"/>
        <v>14</v>
      </c>
      <c r="F8" s="6">
        <f t="shared" si="1"/>
        <v>2</v>
      </c>
      <c r="G8" s="2">
        <f t="shared" si="2"/>
        <v>10.399999999999999</v>
      </c>
      <c r="H8" s="7">
        <v>7</v>
      </c>
    </row>
    <row r="9" spans="1:8" ht="12.45" customHeight="1" x14ac:dyDescent="0.3">
      <c r="A9" s="2" t="s">
        <v>1545</v>
      </c>
      <c r="B9" s="2">
        <v>56</v>
      </c>
      <c r="C9" s="2">
        <v>4.5999999999999996</v>
      </c>
      <c r="D9" s="2">
        <v>257.64999999999998</v>
      </c>
      <c r="E9" s="6">
        <f t="shared" si="0"/>
        <v>7</v>
      </c>
      <c r="F9" s="6">
        <f t="shared" si="1"/>
        <v>20</v>
      </c>
      <c r="G9" s="2">
        <f t="shared" si="2"/>
        <v>10.899999999999999</v>
      </c>
      <c r="H9" s="7">
        <v>8</v>
      </c>
    </row>
    <row r="10" spans="1:8" ht="12.45" customHeight="1" x14ac:dyDescent="0.3">
      <c r="A10" s="2" t="s">
        <v>1546</v>
      </c>
      <c r="B10" s="2">
        <v>58</v>
      </c>
      <c r="C10" s="2">
        <v>4.54</v>
      </c>
      <c r="D10" s="2">
        <v>263.2</v>
      </c>
      <c r="E10" s="6">
        <f t="shared" si="0"/>
        <v>12</v>
      </c>
      <c r="F10" s="6">
        <f t="shared" si="1"/>
        <v>11</v>
      </c>
      <c r="G10" s="2">
        <f t="shared" si="2"/>
        <v>11.7</v>
      </c>
      <c r="H10" s="7">
        <v>9</v>
      </c>
    </row>
    <row r="11" spans="1:8" ht="12.45" customHeight="1" x14ac:dyDescent="0.3">
      <c r="A11" s="2" t="s">
        <v>1547</v>
      </c>
      <c r="B11" s="2">
        <v>57</v>
      </c>
      <c r="C11" s="2">
        <v>4.58</v>
      </c>
      <c r="D11" s="2">
        <v>261</v>
      </c>
      <c r="E11" s="6">
        <f t="shared" si="0"/>
        <v>10</v>
      </c>
      <c r="F11" s="6">
        <f t="shared" si="1"/>
        <v>17</v>
      </c>
      <c r="G11" s="2">
        <f t="shared" si="2"/>
        <v>12.1</v>
      </c>
      <c r="H11" s="7">
        <v>10</v>
      </c>
    </row>
    <row r="12" spans="1:8" ht="12.45" customHeight="1" x14ac:dyDescent="0.3">
      <c r="A12" s="2" t="s">
        <v>1548</v>
      </c>
      <c r="B12" s="2">
        <v>54.5</v>
      </c>
      <c r="C12" s="2">
        <v>4.63</v>
      </c>
      <c r="D12" s="2">
        <v>252.45</v>
      </c>
      <c r="E12" s="6">
        <f t="shared" si="0"/>
        <v>6</v>
      </c>
      <c r="F12" s="6">
        <f t="shared" si="1"/>
        <v>27</v>
      </c>
      <c r="G12" s="2">
        <f t="shared" si="2"/>
        <v>12.299999999999999</v>
      </c>
      <c r="H12" s="7">
        <v>11</v>
      </c>
    </row>
    <row r="13" spans="1:8" ht="12.45" customHeight="1" x14ac:dyDescent="0.3">
      <c r="A13" s="2" t="s">
        <v>1549</v>
      </c>
      <c r="B13" s="2">
        <v>55</v>
      </c>
      <c r="C13" s="2">
        <v>4.59</v>
      </c>
      <c r="D13" s="2">
        <v>252.45</v>
      </c>
      <c r="E13" s="6">
        <f t="shared" si="0"/>
        <v>8</v>
      </c>
      <c r="F13" s="6">
        <f t="shared" si="1"/>
        <v>27</v>
      </c>
      <c r="G13" s="2">
        <f t="shared" si="2"/>
        <v>13.7</v>
      </c>
      <c r="H13" s="7">
        <v>12</v>
      </c>
    </row>
    <row r="14" spans="1:8" ht="12.45" customHeight="1" x14ac:dyDescent="0.3">
      <c r="A14" s="2" t="s">
        <v>1550</v>
      </c>
      <c r="B14" s="2">
        <v>58.5</v>
      </c>
      <c r="C14" s="2">
        <v>4.54</v>
      </c>
      <c r="D14" s="2">
        <v>258.55</v>
      </c>
      <c r="E14" s="6">
        <f t="shared" si="0"/>
        <v>12</v>
      </c>
      <c r="F14" s="6">
        <f t="shared" si="1"/>
        <v>19</v>
      </c>
      <c r="G14" s="2">
        <f t="shared" si="2"/>
        <v>14.099999999999998</v>
      </c>
      <c r="H14" s="7">
        <v>13</v>
      </c>
    </row>
    <row r="15" spans="1:8" ht="12.45" customHeight="1" x14ac:dyDescent="0.3">
      <c r="A15" s="2" t="s">
        <v>1551</v>
      </c>
      <c r="B15" s="2">
        <v>55.5</v>
      </c>
      <c r="C15" s="2">
        <v>4.55</v>
      </c>
      <c r="D15" s="2">
        <v>252.8</v>
      </c>
      <c r="E15" s="6">
        <f t="shared" si="0"/>
        <v>11</v>
      </c>
      <c r="F15" s="6">
        <f t="shared" si="1"/>
        <v>24</v>
      </c>
      <c r="G15" s="2">
        <f t="shared" si="2"/>
        <v>14.899999999999999</v>
      </c>
      <c r="H15" s="7">
        <v>14</v>
      </c>
    </row>
    <row r="16" spans="1:8" ht="12.45" customHeight="1" x14ac:dyDescent="0.3">
      <c r="A16" s="2" t="s">
        <v>1552</v>
      </c>
      <c r="B16" s="2">
        <v>58</v>
      </c>
      <c r="C16" s="2">
        <v>4.5199999999999996</v>
      </c>
      <c r="D16" s="2">
        <v>261.95</v>
      </c>
      <c r="E16" s="6">
        <f t="shared" si="0"/>
        <v>16</v>
      </c>
      <c r="F16" s="6">
        <f t="shared" si="1"/>
        <v>14</v>
      </c>
      <c r="G16" s="2">
        <f t="shared" si="2"/>
        <v>15.399999999999999</v>
      </c>
      <c r="H16" s="7">
        <v>15</v>
      </c>
    </row>
    <row r="17" spans="1:8" ht="12.45" customHeight="1" x14ac:dyDescent="0.3">
      <c r="A17" s="2" t="s">
        <v>1553</v>
      </c>
      <c r="B17" s="2">
        <v>59</v>
      </c>
      <c r="C17" s="2">
        <v>4.47</v>
      </c>
      <c r="D17" s="2">
        <v>263.55</v>
      </c>
      <c r="E17" s="6">
        <f t="shared" si="0"/>
        <v>20</v>
      </c>
      <c r="F17" s="6">
        <f t="shared" si="1"/>
        <v>10</v>
      </c>
      <c r="G17" s="2">
        <f t="shared" si="2"/>
        <v>17</v>
      </c>
      <c r="H17" s="7">
        <v>16</v>
      </c>
    </row>
    <row r="18" spans="1:8" ht="12.45" customHeight="1" x14ac:dyDescent="0.3">
      <c r="A18" s="2" t="s">
        <v>1554</v>
      </c>
      <c r="B18" s="2">
        <v>62</v>
      </c>
      <c r="C18" s="2">
        <v>4.42</v>
      </c>
      <c r="D18" s="2">
        <v>274.10000000000002</v>
      </c>
      <c r="E18" s="6">
        <f t="shared" si="0"/>
        <v>24</v>
      </c>
      <c r="F18" s="6">
        <f t="shared" si="1"/>
        <v>6</v>
      </c>
      <c r="G18" s="2">
        <f t="shared" si="2"/>
        <v>18.599999999999998</v>
      </c>
      <c r="H18" s="7">
        <v>17</v>
      </c>
    </row>
    <row r="19" spans="1:8" ht="12.45" customHeight="1" x14ac:dyDescent="0.3">
      <c r="A19" s="2" t="s">
        <v>1555</v>
      </c>
      <c r="B19" s="2">
        <v>55.5</v>
      </c>
      <c r="C19" s="2">
        <v>4.53</v>
      </c>
      <c r="D19" s="2">
        <v>251.3</v>
      </c>
      <c r="E19" s="6">
        <f t="shared" si="0"/>
        <v>14</v>
      </c>
      <c r="F19" s="6">
        <f t="shared" si="1"/>
        <v>30</v>
      </c>
      <c r="G19" s="2">
        <f t="shared" si="2"/>
        <v>18.799999999999997</v>
      </c>
      <c r="H19" s="7">
        <v>18</v>
      </c>
    </row>
    <row r="20" spans="1:8" ht="12.45" customHeight="1" x14ac:dyDescent="0.3">
      <c r="A20" s="2" t="s">
        <v>1556</v>
      </c>
      <c r="B20" s="2">
        <v>59</v>
      </c>
      <c r="C20" s="2">
        <v>4.4400000000000004</v>
      </c>
      <c r="D20" s="2">
        <v>262.10000000000002</v>
      </c>
      <c r="E20" s="6">
        <f t="shared" si="0"/>
        <v>22</v>
      </c>
      <c r="F20" s="6">
        <f t="shared" si="1"/>
        <v>12</v>
      </c>
      <c r="G20" s="2">
        <f t="shared" si="2"/>
        <v>19</v>
      </c>
      <c r="H20" s="7">
        <v>19</v>
      </c>
    </row>
    <row r="21" spans="1:8" ht="12.45" customHeight="1" x14ac:dyDescent="0.3">
      <c r="A21" s="2" t="s">
        <v>1557</v>
      </c>
      <c r="B21" s="2">
        <v>57.5</v>
      </c>
      <c r="C21" s="2">
        <v>4.43</v>
      </c>
      <c r="D21" s="2">
        <v>254.7</v>
      </c>
      <c r="E21" s="6">
        <f t="shared" si="0"/>
        <v>23</v>
      </c>
      <c r="F21" s="6">
        <f t="shared" si="1"/>
        <v>22</v>
      </c>
      <c r="G21" s="2">
        <f t="shared" si="2"/>
        <v>22.699999999999996</v>
      </c>
      <c r="H21" s="7">
        <v>20</v>
      </c>
    </row>
    <row r="22" spans="1:8" ht="12.45" customHeight="1" x14ac:dyDescent="0.3">
      <c r="A22" s="2" t="s">
        <v>1558</v>
      </c>
      <c r="B22" s="2">
        <v>58</v>
      </c>
      <c r="C22" s="2">
        <v>4.42</v>
      </c>
      <c r="D22" s="2">
        <v>256.5</v>
      </c>
      <c r="E22" s="6">
        <f t="shared" si="0"/>
        <v>24</v>
      </c>
      <c r="F22" s="6">
        <f t="shared" si="1"/>
        <v>21</v>
      </c>
      <c r="G22" s="2">
        <f t="shared" si="2"/>
        <v>23.099999999999998</v>
      </c>
      <c r="H22" s="7">
        <v>21</v>
      </c>
    </row>
    <row r="23" spans="1:8" ht="12.45" customHeight="1" x14ac:dyDescent="0.3">
      <c r="A23" s="2" t="s">
        <v>1559</v>
      </c>
      <c r="B23" s="2">
        <v>54</v>
      </c>
      <c r="C23" s="2">
        <v>4.5199999999999996</v>
      </c>
      <c r="D23" s="2">
        <v>244.3</v>
      </c>
      <c r="E23" s="6">
        <f t="shared" si="0"/>
        <v>16</v>
      </c>
      <c r="F23" s="6">
        <f t="shared" si="1"/>
        <v>40</v>
      </c>
      <c r="G23" s="2">
        <f t="shared" si="2"/>
        <v>23.2</v>
      </c>
      <c r="H23" s="7">
        <v>22</v>
      </c>
    </row>
    <row r="24" spans="1:8" ht="12.45" customHeight="1" x14ac:dyDescent="0.3">
      <c r="A24" s="2" t="s">
        <v>1560</v>
      </c>
      <c r="B24" s="2">
        <v>57.5</v>
      </c>
      <c r="C24" s="2">
        <v>4.41</v>
      </c>
      <c r="D24" s="2">
        <v>253.4</v>
      </c>
      <c r="E24" s="6">
        <f t="shared" si="0"/>
        <v>26</v>
      </c>
      <c r="F24" s="6">
        <f t="shared" si="1"/>
        <v>23</v>
      </c>
      <c r="G24" s="2">
        <f t="shared" si="2"/>
        <v>25.099999999999998</v>
      </c>
      <c r="H24" s="7">
        <v>23</v>
      </c>
    </row>
    <row r="25" spans="1:8" ht="12.45" customHeight="1" x14ac:dyDescent="0.3">
      <c r="A25" s="2" t="s">
        <v>1561</v>
      </c>
      <c r="B25" s="2">
        <v>53.5</v>
      </c>
      <c r="C25" s="2">
        <v>4.49</v>
      </c>
      <c r="D25" s="2">
        <v>240.35</v>
      </c>
      <c r="E25" s="6">
        <f t="shared" si="0"/>
        <v>19</v>
      </c>
      <c r="F25" s="6">
        <f t="shared" si="1"/>
        <v>44</v>
      </c>
      <c r="G25" s="2">
        <f t="shared" si="2"/>
        <v>26.5</v>
      </c>
      <c r="H25" s="7">
        <v>24</v>
      </c>
    </row>
    <row r="26" spans="1:8" ht="12.45" customHeight="1" x14ac:dyDescent="0.3">
      <c r="A26" s="2" t="s">
        <v>1562</v>
      </c>
      <c r="B26" s="2">
        <v>53</v>
      </c>
      <c r="C26" s="2">
        <v>4.51</v>
      </c>
      <c r="D26" s="2">
        <v>238.9</v>
      </c>
      <c r="E26" s="6">
        <f t="shared" si="0"/>
        <v>18</v>
      </c>
      <c r="F26" s="6">
        <f t="shared" si="1"/>
        <v>47</v>
      </c>
      <c r="G26" s="2">
        <f t="shared" si="2"/>
        <v>26.7</v>
      </c>
      <c r="H26" s="7">
        <v>25</v>
      </c>
    </row>
    <row r="27" spans="1:8" ht="12.45" customHeight="1" x14ac:dyDescent="0.3">
      <c r="A27" s="2" t="s">
        <v>1563</v>
      </c>
      <c r="B27" s="2">
        <v>60</v>
      </c>
      <c r="C27" s="2">
        <v>4.37</v>
      </c>
      <c r="D27" s="2">
        <v>262.10000000000002</v>
      </c>
      <c r="E27" s="6">
        <f t="shared" si="0"/>
        <v>34</v>
      </c>
      <c r="F27" s="6">
        <f t="shared" si="1"/>
        <v>12</v>
      </c>
      <c r="G27" s="2">
        <f t="shared" si="2"/>
        <v>27.4</v>
      </c>
      <c r="H27" s="7">
        <v>26</v>
      </c>
    </row>
    <row r="28" spans="1:8" ht="12.45" customHeight="1" x14ac:dyDescent="0.3">
      <c r="A28" s="2" t="s">
        <v>1564</v>
      </c>
      <c r="B28" s="2">
        <v>57</v>
      </c>
      <c r="C28" s="2">
        <v>4.41</v>
      </c>
      <c r="D28" s="2">
        <v>251.15</v>
      </c>
      <c r="E28" s="6">
        <f t="shared" si="0"/>
        <v>26</v>
      </c>
      <c r="F28" s="6">
        <f t="shared" si="1"/>
        <v>31</v>
      </c>
      <c r="G28" s="2">
        <f t="shared" si="2"/>
        <v>27.5</v>
      </c>
      <c r="H28" s="7">
        <v>27</v>
      </c>
    </row>
    <row r="29" spans="1:8" ht="12.45" customHeight="1" x14ac:dyDescent="0.3">
      <c r="A29" s="2" t="s">
        <v>1565</v>
      </c>
      <c r="B29" s="2">
        <v>62.5</v>
      </c>
      <c r="C29" s="2">
        <v>4.33</v>
      </c>
      <c r="D29" s="2">
        <v>270.89999999999998</v>
      </c>
      <c r="E29" s="6">
        <f t="shared" si="0"/>
        <v>38</v>
      </c>
      <c r="F29" s="6">
        <f t="shared" si="1"/>
        <v>7</v>
      </c>
      <c r="G29" s="2">
        <f t="shared" si="2"/>
        <v>28.7</v>
      </c>
      <c r="H29" s="7">
        <v>28</v>
      </c>
    </row>
    <row r="30" spans="1:8" ht="12.45" customHeight="1" x14ac:dyDescent="0.3">
      <c r="A30" s="2" t="s">
        <v>1566</v>
      </c>
      <c r="B30" s="2">
        <v>59.5</v>
      </c>
      <c r="C30" s="2">
        <v>4.37</v>
      </c>
      <c r="D30" s="2">
        <v>260.05</v>
      </c>
      <c r="E30" s="6">
        <f t="shared" si="0"/>
        <v>34</v>
      </c>
      <c r="F30" s="6">
        <f t="shared" si="1"/>
        <v>18</v>
      </c>
      <c r="G30" s="2">
        <f t="shared" si="2"/>
        <v>29.199999999999996</v>
      </c>
      <c r="H30" s="7">
        <v>29</v>
      </c>
    </row>
    <row r="31" spans="1:8" ht="12.45" customHeight="1" x14ac:dyDescent="0.3">
      <c r="A31" s="2" t="s">
        <v>1567</v>
      </c>
      <c r="B31" s="2">
        <v>57.5</v>
      </c>
      <c r="C31" s="2">
        <v>4.3899999999999997</v>
      </c>
      <c r="D31" s="2">
        <v>252.35</v>
      </c>
      <c r="E31" s="6">
        <f t="shared" si="0"/>
        <v>30</v>
      </c>
      <c r="F31" s="6">
        <f t="shared" si="1"/>
        <v>29</v>
      </c>
      <c r="G31" s="2">
        <f t="shared" si="2"/>
        <v>29.7</v>
      </c>
      <c r="H31" s="7">
        <v>30</v>
      </c>
    </row>
    <row r="32" spans="1:8" ht="12.45" customHeight="1" x14ac:dyDescent="0.3">
      <c r="A32" s="2" t="s">
        <v>1568</v>
      </c>
      <c r="B32" s="2">
        <v>56.5</v>
      </c>
      <c r="C32" s="2">
        <v>4.4000000000000004</v>
      </c>
      <c r="D32" s="2">
        <v>248.75</v>
      </c>
      <c r="E32" s="6">
        <f t="shared" si="0"/>
        <v>28</v>
      </c>
      <c r="F32" s="6">
        <f t="shared" si="1"/>
        <v>34</v>
      </c>
      <c r="G32" s="2">
        <f t="shared" si="2"/>
        <v>29.799999999999997</v>
      </c>
      <c r="H32" s="7">
        <v>31</v>
      </c>
    </row>
    <row r="33" spans="1:8" ht="12.45" customHeight="1" x14ac:dyDescent="0.3">
      <c r="A33" s="2" t="s">
        <v>1569</v>
      </c>
      <c r="B33" s="2">
        <v>52.5</v>
      </c>
      <c r="C33" s="2">
        <v>4.45</v>
      </c>
      <c r="D33" s="2">
        <v>233.6</v>
      </c>
      <c r="E33" s="6">
        <f t="shared" si="0"/>
        <v>21</v>
      </c>
      <c r="F33" s="6">
        <f t="shared" si="1"/>
        <v>51</v>
      </c>
      <c r="G33" s="2">
        <f t="shared" si="2"/>
        <v>30</v>
      </c>
      <c r="H33" s="7">
        <v>32</v>
      </c>
    </row>
    <row r="34" spans="1:8" ht="12.45" customHeight="1" x14ac:dyDescent="0.3">
      <c r="A34" s="2" t="s">
        <v>1570</v>
      </c>
      <c r="B34" s="2">
        <v>55.5</v>
      </c>
      <c r="C34" s="2">
        <v>4.4000000000000004</v>
      </c>
      <c r="D34" s="2">
        <v>244.1</v>
      </c>
      <c r="E34" s="6">
        <f t="shared" ref="E34:E65" si="3">_xlfn.RANK.EQ(C34,C:C,0)</f>
        <v>28</v>
      </c>
      <c r="F34" s="6">
        <f t="shared" ref="F34:F65" si="4">_xlfn.RANK.EQ(D34,D:D,0)</f>
        <v>41</v>
      </c>
      <c r="G34" s="2">
        <f t="shared" ref="G34:G65" si="5">E34*0.7+F34*0.3</f>
        <v>31.9</v>
      </c>
      <c r="H34" s="7">
        <v>33</v>
      </c>
    </row>
    <row r="35" spans="1:8" ht="12.45" customHeight="1" x14ac:dyDescent="0.3">
      <c r="A35" s="2" t="s">
        <v>1571</v>
      </c>
      <c r="B35" s="2">
        <v>60.5</v>
      </c>
      <c r="C35" s="2">
        <v>4.32</v>
      </c>
      <c r="D35" s="2">
        <v>261.64999999999998</v>
      </c>
      <c r="E35" s="6">
        <f t="shared" si="3"/>
        <v>40</v>
      </c>
      <c r="F35" s="6">
        <f t="shared" si="4"/>
        <v>16</v>
      </c>
      <c r="G35" s="2">
        <f t="shared" si="5"/>
        <v>32.799999999999997</v>
      </c>
      <c r="H35" s="7">
        <v>34</v>
      </c>
    </row>
    <row r="36" spans="1:8" ht="12.45" customHeight="1" x14ac:dyDescent="0.3">
      <c r="A36" s="2" t="s">
        <v>1572</v>
      </c>
      <c r="B36" s="2">
        <v>56.5</v>
      </c>
      <c r="C36" s="2">
        <v>4.38</v>
      </c>
      <c r="D36" s="2">
        <v>247.75</v>
      </c>
      <c r="E36" s="6">
        <f t="shared" si="3"/>
        <v>32</v>
      </c>
      <c r="F36" s="6">
        <f t="shared" si="4"/>
        <v>37</v>
      </c>
      <c r="G36" s="2">
        <f t="shared" si="5"/>
        <v>33.5</v>
      </c>
      <c r="H36" s="7">
        <v>35</v>
      </c>
    </row>
    <row r="37" spans="1:8" ht="12.45" customHeight="1" x14ac:dyDescent="0.3">
      <c r="A37" s="2" t="s">
        <v>1573</v>
      </c>
      <c r="B37" s="2">
        <v>58</v>
      </c>
      <c r="C37" s="2">
        <v>4.3499999999999996</v>
      </c>
      <c r="D37" s="2">
        <v>252.5</v>
      </c>
      <c r="E37" s="6">
        <f t="shared" si="3"/>
        <v>37</v>
      </c>
      <c r="F37" s="6">
        <f t="shared" si="4"/>
        <v>26</v>
      </c>
      <c r="G37" s="2">
        <f t="shared" si="5"/>
        <v>33.699999999999996</v>
      </c>
      <c r="H37" s="7">
        <v>36</v>
      </c>
    </row>
    <row r="38" spans="1:8" ht="12.45" customHeight="1" x14ac:dyDescent="0.3">
      <c r="A38" s="2" t="s">
        <v>1574</v>
      </c>
      <c r="B38" s="2">
        <v>57</v>
      </c>
      <c r="C38" s="2">
        <v>4.37</v>
      </c>
      <c r="D38" s="2">
        <v>248.9</v>
      </c>
      <c r="E38" s="6">
        <f t="shared" si="3"/>
        <v>34</v>
      </c>
      <c r="F38" s="6">
        <f t="shared" si="4"/>
        <v>33</v>
      </c>
      <c r="G38" s="2">
        <f t="shared" si="5"/>
        <v>33.699999999999996</v>
      </c>
      <c r="H38" s="7">
        <v>36</v>
      </c>
    </row>
    <row r="39" spans="1:8" ht="12.45" customHeight="1" x14ac:dyDescent="0.3">
      <c r="A39" s="2" t="s">
        <v>1575</v>
      </c>
      <c r="B39" s="2">
        <v>56</v>
      </c>
      <c r="C39" s="2">
        <v>4.38</v>
      </c>
      <c r="D39" s="2">
        <v>245.4</v>
      </c>
      <c r="E39" s="6">
        <f t="shared" si="3"/>
        <v>32</v>
      </c>
      <c r="F39" s="6">
        <f t="shared" si="4"/>
        <v>39</v>
      </c>
      <c r="G39" s="2">
        <f t="shared" si="5"/>
        <v>34.099999999999994</v>
      </c>
      <c r="H39" s="7">
        <v>38</v>
      </c>
    </row>
    <row r="40" spans="1:8" ht="12.45" customHeight="1" x14ac:dyDescent="0.3">
      <c r="A40" s="2" t="s">
        <v>1576</v>
      </c>
      <c r="B40" s="2">
        <v>58</v>
      </c>
      <c r="C40" s="2">
        <v>4.32</v>
      </c>
      <c r="D40" s="2">
        <v>250.8</v>
      </c>
      <c r="E40" s="6">
        <f t="shared" si="3"/>
        <v>40</v>
      </c>
      <c r="F40" s="6">
        <f t="shared" si="4"/>
        <v>32</v>
      </c>
      <c r="G40" s="2">
        <f t="shared" si="5"/>
        <v>37.6</v>
      </c>
      <c r="H40" s="7">
        <v>39</v>
      </c>
    </row>
    <row r="41" spans="1:8" ht="12.45" customHeight="1" x14ac:dyDescent="0.3">
      <c r="A41" s="2" t="s">
        <v>1577</v>
      </c>
      <c r="B41" s="2">
        <v>51</v>
      </c>
      <c r="C41" s="2">
        <v>4.3899999999999997</v>
      </c>
      <c r="D41" s="2">
        <v>224.05</v>
      </c>
      <c r="E41" s="6">
        <f t="shared" si="3"/>
        <v>30</v>
      </c>
      <c r="F41" s="6">
        <f t="shared" si="4"/>
        <v>59</v>
      </c>
      <c r="G41" s="2">
        <f t="shared" si="5"/>
        <v>38.700000000000003</v>
      </c>
      <c r="H41" s="7">
        <v>40</v>
      </c>
    </row>
    <row r="42" spans="1:8" ht="12.45" customHeight="1" x14ac:dyDescent="0.3">
      <c r="A42" s="2" t="s">
        <v>1578</v>
      </c>
      <c r="B42" s="2">
        <v>56</v>
      </c>
      <c r="C42" s="2">
        <v>4.33</v>
      </c>
      <c r="D42" s="2">
        <v>242.5</v>
      </c>
      <c r="E42" s="6">
        <f t="shared" si="3"/>
        <v>38</v>
      </c>
      <c r="F42" s="6">
        <f t="shared" si="4"/>
        <v>42</v>
      </c>
      <c r="G42" s="2">
        <f t="shared" si="5"/>
        <v>39.199999999999996</v>
      </c>
      <c r="H42" s="7">
        <v>41</v>
      </c>
    </row>
    <row r="43" spans="1:8" ht="12.45" customHeight="1" x14ac:dyDescent="0.3">
      <c r="A43" s="2" t="s">
        <v>1579</v>
      </c>
      <c r="B43" s="2">
        <v>59.5</v>
      </c>
      <c r="C43" s="2">
        <v>4.25</v>
      </c>
      <c r="D43" s="2">
        <v>252.6</v>
      </c>
      <c r="E43" s="6">
        <f t="shared" si="3"/>
        <v>46</v>
      </c>
      <c r="F43" s="6">
        <f t="shared" si="4"/>
        <v>25</v>
      </c>
      <c r="G43" s="2">
        <f t="shared" si="5"/>
        <v>39.699999999999996</v>
      </c>
      <c r="H43" s="7">
        <v>42</v>
      </c>
    </row>
    <row r="44" spans="1:8" ht="12.45" customHeight="1" x14ac:dyDescent="0.3">
      <c r="A44" s="2" t="s">
        <v>1580</v>
      </c>
      <c r="B44" s="2">
        <v>57</v>
      </c>
      <c r="C44" s="2">
        <v>4.3099999999999996</v>
      </c>
      <c r="D44" s="2">
        <v>245.45</v>
      </c>
      <c r="E44" s="6">
        <f t="shared" si="3"/>
        <v>42</v>
      </c>
      <c r="F44" s="6">
        <f t="shared" si="4"/>
        <v>38</v>
      </c>
      <c r="G44" s="2">
        <f t="shared" si="5"/>
        <v>40.799999999999997</v>
      </c>
      <c r="H44" s="7">
        <v>43</v>
      </c>
    </row>
    <row r="45" spans="1:8" ht="12.45" customHeight="1" x14ac:dyDescent="0.3">
      <c r="A45" s="2" t="s">
        <v>1581</v>
      </c>
      <c r="B45" s="2">
        <v>58.5</v>
      </c>
      <c r="C45" s="2">
        <v>4.24</v>
      </c>
      <c r="D45" s="2">
        <v>248.25</v>
      </c>
      <c r="E45" s="6">
        <f t="shared" si="3"/>
        <v>49</v>
      </c>
      <c r="F45" s="6">
        <f t="shared" si="4"/>
        <v>36</v>
      </c>
      <c r="G45" s="2">
        <f t="shared" si="5"/>
        <v>45.099999999999994</v>
      </c>
      <c r="H45" s="7">
        <v>44</v>
      </c>
    </row>
    <row r="46" spans="1:8" ht="12.45" customHeight="1" x14ac:dyDescent="0.3">
      <c r="A46" s="2" t="s">
        <v>1582</v>
      </c>
      <c r="B46" s="2">
        <v>64.5</v>
      </c>
      <c r="C46" s="2">
        <v>4.0599999999999996</v>
      </c>
      <c r="D46" s="2">
        <v>261.7</v>
      </c>
      <c r="E46" s="6">
        <f t="shared" si="3"/>
        <v>58</v>
      </c>
      <c r="F46" s="6">
        <f t="shared" si="4"/>
        <v>15</v>
      </c>
      <c r="G46" s="2">
        <f t="shared" si="5"/>
        <v>45.099999999999994</v>
      </c>
      <c r="H46" s="7">
        <v>44</v>
      </c>
    </row>
    <row r="47" spans="1:8" ht="12.45" customHeight="1" x14ac:dyDescent="0.3">
      <c r="A47" s="2" t="s">
        <v>1583</v>
      </c>
      <c r="B47" s="2">
        <v>56.5</v>
      </c>
      <c r="C47" s="2">
        <v>4.25</v>
      </c>
      <c r="D47" s="2">
        <v>239.85</v>
      </c>
      <c r="E47" s="6">
        <f t="shared" si="3"/>
        <v>46</v>
      </c>
      <c r="F47" s="6">
        <f t="shared" si="4"/>
        <v>45</v>
      </c>
      <c r="G47" s="2">
        <f t="shared" si="5"/>
        <v>45.699999999999996</v>
      </c>
      <c r="H47" s="7">
        <v>46</v>
      </c>
    </row>
    <row r="48" spans="1:8" ht="12.45" customHeight="1" x14ac:dyDescent="0.3">
      <c r="A48" s="2" t="s">
        <v>1584</v>
      </c>
      <c r="B48" s="2">
        <v>59</v>
      </c>
      <c r="C48" s="2">
        <v>4.21</v>
      </c>
      <c r="D48" s="2">
        <v>248.65</v>
      </c>
      <c r="E48" s="6">
        <f t="shared" si="3"/>
        <v>51</v>
      </c>
      <c r="F48" s="6">
        <f t="shared" si="4"/>
        <v>35</v>
      </c>
      <c r="G48" s="2">
        <f t="shared" si="5"/>
        <v>46.199999999999996</v>
      </c>
      <c r="H48" s="7">
        <v>47</v>
      </c>
    </row>
    <row r="49" spans="1:8" ht="12.45" customHeight="1" x14ac:dyDescent="0.3">
      <c r="A49" s="2" t="s">
        <v>1585</v>
      </c>
      <c r="B49" s="2">
        <v>54.5</v>
      </c>
      <c r="C49" s="2">
        <v>4.26</v>
      </c>
      <c r="D49" s="2">
        <v>232.3</v>
      </c>
      <c r="E49" s="6">
        <f t="shared" si="3"/>
        <v>44</v>
      </c>
      <c r="F49" s="6">
        <f t="shared" si="4"/>
        <v>52</v>
      </c>
      <c r="G49" s="2">
        <f t="shared" si="5"/>
        <v>46.4</v>
      </c>
      <c r="H49" s="7">
        <v>48</v>
      </c>
    </row>
    <row r="50" spans="1:8" ht="12.45" customHeight="1" x14ac:dyDescent="0.3">
      <c r="A50" s="2" t="s">
        <v>1586</v>
      </c>
      <c r="B50" s="2">
        <v>52</v>
      </c>
      <c r="C50" s="2">
        <v>4.29</v>
      </c>
      <c r="D50" s="2">
        <v>223</v>
      </c>
      <c r="E50" s="6">
        <f t="shared" si="3"/>
        <v>43</v>
      </c>
      <c r="F50" s="6">
        <f t="shared" si="4"/>
        <v>61</v>
      </c>
      <c r="G50" s="2">
        <f t="shared" si="5"/>
        <v>48.4</v>
      </c>
      <c r="H50" s="7">
        <v>49</v>
      </c>
    </row>
    <row r="51" spans="1:8" ht="12.45" customHeight="1" x14ac:dyDescent="0.3">
      <c r="A51" s="2" t="s">
        <v>1587</v>
      </c>
      <c r="B51" s="2">
        <v>52.5</v>
      </c>
      <c r="C51" s="2">
        <v>4.26</v>
      </c>
      <c r="D51" s="2">
        <v>223.75</v>
      </c>
      <c r="E51" s="6">
        <f t="shared" si="3"/>
        <v>44</v>
      </c>
      <c r="F51" s="6">
        <f t="shared" si="4"/>
        <v>60</v>
      </c>
      <c r="G51" s="2">
        <f t="shared" si="5"/>
        <v>48.8</v>
      </c>
      <c r="H51" s="7">
        <v>50</v>
      </c>
    </row>
    <row r="52" spans="1:8" ht="12.45" customHeight="1" x14ac:dyDescent="0.3">
      <c r="A52" s="2" t="s">
        <v>1588</v>
      </c>
      <c r="B52" s="2">
        <v>56</v>
      </c>
      <c r="C52" s="2">
        <v>4.22</v>
      </c>
      <c r="D52" s="2">
        <v>236.1</v>
      </c>
      <c r="E52" s="6">
        <f t="shared" si="3"/>
        <v>50</v>
      </c>
      <c r="F52" s="6">
        <f t="shared" si="4"/>
        <v>49</v>
      </c>
      <c r="G52" s="2">
        <f t="shared" si="5"/>
        <v>49.7</v>
      </c>
      <c r="H52" s="7">
        <v>51</v>
      </c>
    </row>
    <row r="53" spans="1:8" ht="12.45" customHeight="1" x14ac:dyDescent="0.3">
      <c r="A53" s="2" t="s">
        <v>1589</v>
      </c>
      <c r="B53" s="2">
        <v>57</v>
      </c>
      <c r="C53" s="2">
        <v>4.1900000000000004</v>
      </c>
      <c r="D53" s="2">
        <v>239.05</v>
      </c>
      <c r="E53" s="6">
        <f t="shared" si="3"/>
        <v>52</v>
      </c>
      <c r="F53" s="6">
        <f t="shared" si="4"/>
        <v>46</v>
      </c>
      <c r="G53" s="2">
        <f t="shared" si="5"/>
        <v>50.199999999999996</v>
      </c>
      <c r="H53" s="7">
        <v>52</v>
      </c>
    </row>
    <row r="54" spans="1:8" ht="12.45" customHeight="1" x14ac:dyDescent="0.3">
      <c r="A54" s="2" t="s">
        <v>1590</v>
      </c>
      <c r="B54" s="2">
        <v>52</v>
      </c>
      <c r="C54" s="2">
        <v>4.25</v>
      </c>
      <c r="D54" s="2">
        <v>221.25</v>
      </c>
      <c r="E54" s="6">
        <f t="shared" si="3"/>
        <v>46</v>
      </c>
      <c r="F54" s="6">
        <f t="shared" si="4"/>
        <v>63</v>
      </c>
      <c r="G54" s="2">
        <f t="shared" si="5"/>
        <v>51.099999999999994</v>
      </c>
      <c r="H54" s="7">
        <v>53</v>
      </c>
    </row>
    <row r="55" spans="1:8" ht="12.45" customHeight="1" x14ac:dyDescent="0.3">
      <c r="A55" s="2" t="s">
        <v>1591</v>
      </c>
      <c r="B55" s="2">
        <v>59.5</v>
      </c>
      <c r="C55" s="2">
        <v>4.0599999999999996</v>
      </c>
      <c r="D55" s="2">
        <v>241.5</v>
      </c>
      <c r="E55" s="6">
        <f t="shared" si="3"/>
        <v>58</v>
      </c>
      <c r="F55" s="6">
        <f t="shared" si="4"/>
        <v>43</v>
      </c>
      <c r="G55" s="2">
        <f t="shared" si="5"/>
        <v>53.499999999999993</v>
      </c>
      <c r="H55" s="7">
        <v>54</v>
      </c>
    </row>
    <row r="56" spans="1:8" ht="12.45" customHeight="1" x14ac:dyDescent="0.3">
      <c r="A56" s="2" t="s">
        <v>1592</v>
      </c>
      <c r="B56" s="2">
        <v>57.5</v>
      </c>
      <c r="C56" s="2">
        <v>4.1399999999999997</v>
      </c>
      <c r="D56" s="2">
        <v>232.1</v>
      </c>
      <c r="E56" s="6">
        <f t="shared" si="3"/>
        <v>54</v>
      </c>
      <c r="F56" s="6">
        <f t="shared" si="4"/>
        <v>54</v>
      </c>
      <c r="G56" s="2">
        <f t="shared" si="5"/>
        <v>54</v>
      </c>
      <c r="H56" s="7">
        <v>55</v>
      </c>
    </row>
    <row r="57" spans="1:8" ht="12.45" customHeight="1" x14ac:dyDescent="0.3">
      <c r="A57" s="2" t="s">
        <v>1593</v>
      </c>
      <c r="B57" s="2">
        <v>56.5</v>
      </c>
      <c r="C57" s="2">
        <v>4.1100000000000003</v>
      </c>
      <c r="D57" s="2">
        <v>232.15</v>
      </c>
      <c r="E57" s="6">
        <f t="shared" si="3"/>
        <v>55</v>
      </c>
      <c r="F57" s="6">
        <f t="shared" si="4"/>
        <v>53</v>
      </c>
      <c r="G57" s="2">
        <f t="shared" si="5"/>
        <v>54.4</v>
      </c>
      <c r="H57" s="7">
        <v>56</v>
      </c>
    </row>
    <row r="58" spans="1:8" ht="12.45" customHeight="1" x14ac:dyDescent="0.3">
      <c r="A58" s="2" t="s">
        <v>1594</v>
      </c>
      <c r="B58" s="2">
        <v>53</v>
      </c>
      <c r="C58" s="2">
        <v>4.18</v>
      </c>
      <c r="D58" s="2">
        <v>221.6</v>
      </c>
      <c r="E58" s="6">
        <f t="shared" si="3"/>
        <v>53</v>
      </c>
      <c r="F58" s="6">
        <f t="shared" si="4"/>
        <v>62</v>
      </c>
      <c r="G58" s="2">
        <f t="shared" si="5"/>
        <v>55.699999999999989</v>
      </c>
      <c r="H58" s="7">
        <v>57</v>
      </c>
    </row>
    <row r="59" spans="1:8" ht="12.45" customHeight="1" x14ac:dyDescent="0.3">
      <c r="A59" s="2" t="s">
        <v>1595</v>
      </c>
      <c r="B59" s="2">
        <v>55</v>
      </c>
      <c r="C59" s="2">
        <v>4.09</v>
      </c>
      <c r="D59" s="2">
        <v>225.1</v>
      </c>
      <c r="E59" s="6">
        <f t="shared" si="3"/>
        <v>57</v>
      </c>
      <c r="F59" s="6">
        <f t="shared" si="4"/>
        <v>57</v>
      </c>
      <c r="G59" s="2">
        <f t="shared" si="5"/>
        <v>57</v>
      </c>
      <c r="H59" s="7">
        <v>58</v>
      </c>
    </row>
    <row r="60" spans="1:8" ht="12.45" customHeight="1" x14ac:dyDescent="0.3">
      <c r="A60" s="2" t="s">
        <v>1596</v>
      </c>
      <c r="B60" s="2">
        <v>59.5</v>
      </c>
      <c r="C60" s="2">
        <v>3.97</v>
      </c>
      <c r="D60" s="2">
        <v>236.4</v>
      </c>
      <c r="E60" s="6">
        <f t="shared" si="3"/>
        <v>64</v>
      </c>
      <c r="F60" s="6">
        <f t="shared" si="4"/>
        <v>48</v>
      </c>
      <c r="G60" s="2">
        <f t="shared" si="5"/>
        <v>59.199999999999996</v>
      </c>
      <c r="H60" s="7">
        <v>59</v>
      </c>
    </row>
    <row r="61" spans="1:8" ht="12.45" customHeight="1" x14ac:dyDescent="0.3">
      <c r="A61" s="2" t="s">
        <v>1597</v>
      </c>
      <c r="B61" s="2">
        <v>55.5</v>
      </c>
      <c r="C61" s="2">
        <v>4.05</v>
      </c>
      <c r="D61" s="2">
        <v>224.85</v>
      </c>
      <c r="E61" s="6">
        <f t="shared" si="3"/>
        <v>60</v>
      </c>
      <c r="F61" s="6">
        <f t="shared" si="4"/>
        <v>58</v>
      </c>
      <c r="G61" s="2">
        <f t="shared" si="5"/>
        <v>59.4</v>
      </c>
      <c r="H61" s="7">
        <v>60</v>
      </c>
    </row>
    <row r="62" spans="1:8" ht="12.45" customHeight="1" x14ac:dyDescent="0.3">
      <c r="A62" s="2" t="s">
        <v>1598</v>
      </c>
      <c r="B62" s="2">
        <v>54</v>
      </c>
      <c r="C62" s="2">
        <v>4.1100000000000003</v>
      </c>
      <c r="D62" s="2">
        <v>215.85</v>
      </c>
      <c r="E62" s="6">
        <f t="shared" si="3"/>
        <v>55</v>
      </c>
      <c r="F62" s="6">
        <f t="shared" si="4"/>
        <v>71</v>
      </c>
      <c r="G62" s="2">
        <f t="shared" si="5"/>
        <v>59.8</v>
      </c>
      <c r="H62" s="7">
        <v>61</v>
      </c>
    </row>
    <row r="63" spans="1:8" ht="12.45" customHeight="1" x14ac:dyDescent="0.3">
      <c r="A63" s="2" t="s">
        <v>1599</v>
      </c>
      <c r="B63" s="2">
        <v>57</v>
      </c>
      <c r="C63" s="2">
        <v>4.0199999999999996</v>
      </c>
      <c r="D63" s="2">
        <v>229.35</v>
      </c>
      <c r="E63" s="6">
        <f t="shared" si="3"/>
        <v>62</v>
      </c>
      <c r="F63" s="6">
        <f t="shared" si="4"/>
        <v>56</v>
      </c>
      <c r="G63" s="2">
        <f t="shared" si="5"/>
        <v>60.2</v>
      </c>
      <c r="H63" s="7">
        <v>62</v>
      </c>
    </row>
    <row r="64" spans="1:8" ht="12.45" customHeight="1" x14ac:dyDescent="0.3">
      <c r="A64" s="2" t="s">
        <v>1600</v>
      </c>
      <c r="B64" s="2">
        <v>62</v>
      </c>
      <c r="C64" s="2">
        <v>3.8</v>
      </c>
      <c r="D64" s="2">
        <v>235.65</v>
      </c>
      <c r="E64" s="6">
        <f t="shared" si="3"/>
        <v>68</v>
      </c>
      <c r="F64" s="6">
        <f t="shared" si="4"/>
        <v>50</v>
      </c>
      <c r="G64" s="2">
        <f t="shared" si="5"/>
        <v>62.599999999999994</v>
      </c>
      <c r="H64" s="7">
        <v>63</v>
      </c>
    </row>
    <row r="65" spans="1:8" ht="12.45" customHeight="1" x14ac:dyDescent="0.3">
      <c r="A65" s="2" t="s">
        <v>1601</v>
      </c>
      <c r="B65" s="2">
        <v>55</v>
      </c>
      <c r="C65" s="2">
        <v>3.99</v>
      </c>
      <c r="D65" s="2">
        <v>219.6</v>
      </c>
      <c r="E65" s="6">
        <f t="shared" si="3"/>
        <v>63</v>
      </c>
      <c r="F65" s="6">
        <f t="shared" si="4"/>
        <v>66</v>
      </c>
      <c r="G65" s="2">
        <f t="shared" si="5"/>
        <v>63.899999999999991</v>
      </c>
      <c r="H65" s="7">
        <v>64</v>
      </c>
    </row>
    <row r="66" spans="1:8" ht="12.45" customHeight="1" x14ac:dyDescent="0.3">
      <c r="A66" s="2" t="s">
        <v>1602</v>
      </c>
      <c r="B66" s="2">
        <v>60.5</v>
      </c>
      <c r="C66" s="2">
        <v>3.8</v>
      </c>
      <c r="D66" s="2">
        <v>230</v>
      </c>
      <c r="E66" s="6">
        <f t="shared" ref="E66:E97" si="6">_xlfn.RANK.EQ(C66,C:C,0)</f>
        <v>68</v>
      </c>
      <c r="F66" s="6">
        <f t="shared" ref="F66:F97" si="7">_xlfn.RANK.EQ(D66,D:D,0)</f>
        <v>55</v>
      </c>
      <c r="G66" s="2">
        <f t="shared" ref="G66:G97" si="8">E66*0.7+F66*0.3</f>
        <v>64.099999999999994</v>
      </c>
      <c r="H66" s="7">
        <v>65</v>
      </c>
    </row>
    <row r="67" spans="1:8" ht="12.45" customHeight="1" x14ac:dyDescent="0.3">
      <c r="A67" s="2" t="s">
        <v>1603</v>
      </c>
      <c r="B67" s="2">
        <v>53.5</v>
      </c>
      <c r="C67" s="2">
        <v>4.03</v>
      </c>
      <c r="D67" s="2">
        <v>215.4</v>
      </c>
      <c r="E67" s="6">
        <f t="shared" si="6"/>
        <v>61</v>
      </c>
      <c r="F67" s="6">
        <f t="shared" si="7"/>
        <v>72</v>
      </c>
      <c r="G67" s="2">
        <f t="shared" si="8"/>
        <v>64.3</v>
      </c>
      <c r="H67" s="7">
        <v>66</v>
      </c>
    </row>
    <row r="68" spans="1:8" ht="12.45" customHeight="1" x14ac:dyDescent="0.3">
      <c r="A68" s="2" t="s">
        <v>1604</v>
      </c>
      <c r="B68" s="2">
        <v>56</v>
      </c>
      <c r="C68" s="2">
        <v>3.94</v>
      </c>
      <c r="D68" s="2">
        <v>220.7</v>
      </c>
      <c r="E68" s="6">
        <f t="shared" si="6"/>
        <v>65</v>
      </c>
      <c r="F68" s="6">
        <f t="shared" si="7"/>
        <v>64</v>
      </c>
      <c r="G68" s="2">
        <f t="shared" si="8"/>
        <v>64.7</v>
      </c>
      <c r="H68" s="7">
        <v>67</v>
      </c>
    </row>
    <row r="69" spans="1:8" ht="12.45" customHeight="1" x14ac:dyDescent="0.3">
      <c r="A69" s="2" t="s">
        <v>1605</v>
      </c>
      <c r="B69" s="2">
        <v>54</v>
      </c>
      <c r="C69" s="2">
        <v>3.85</v>
      </c>
      <c r="D69" s="2">
        <v>207.65</v>
      </c>
      <c r="E69" s="6">
        <f t="shared" si="6"/>
        <v>66</v>
      </c>
      <c r="F69" s="6">
        <f t="shared" si="7"/>
        <v>78</v>
      </c>
      <c r="G69" s="2">
        <f t="shared" si="8"/>
        <v>69.599999999999994</v>
      </c>
      <c r="H69" s="7">
        <v>68</v>
      </c>
    </row>
    <row r="70" spans="1:8" ht="12.45" customHeight="1" x14ac:dyDescent="0.3">
      <c r="A70" s="2" t="s">
        <v>1606</v>
      </c>
      <c r="B70" s="2">
        <v>55</v>
      </c>
      <c r="C70" s="2">
        <v>3.8</v>
      </c>
      <c r="D70" s="2">
        <v>208.8</v>
      </c>
      <c r="E70" s="6">
        <f t="shared" si="6"/>
        <v>68</v>
      </c>
      <c r="F70" s="6">
        <f t="shared" si="7"/>
        <v>76</v>
      </c>
      <c r="G70" s="2">
        <f t="shared" si="8"/>
        <v>70.399999999999991</v>
      </c>
      <c r="H70" s="7">
        <v>69</v>
      </c>
    </row>
    <row r="71" spans="1:8" ht="12.45" customHeight="1" x14ac:dyDescent="0.3">
      <c r="A71" s="2" t="s">
        <v>1607</v>
      </c>
      <c r="B71" s="2">
        <v>54</v>
      </c>
      <c r="C71" s="2">
        <v>3.84</v>
      </c>
      <c r="D71" s="2">
        <v>207.3</v>
      </c>
      <c r="E71" s="6">
        <f t="shared" si="6"/>
        <v>67</v>
      </c>
      <c r="F71" s="6">
        <f t="shared" si="7"/>
        <v>79</v>
      </c>
      <c r="G71" s="2">
        <f t="shared" si="8"/>
        <v>70.599999999999994</v>
      </c>
      <c r="H71" s="7">
        <v>70</v>
      </c>
    </row>
    <row r="72" spans="1:8" ht="12.45" customHeight="1" x14ac:dyDescent="0.3">
      <c r="A72" s="2" t="s">
        <v>1608</v>
      </c>
      <c r="B72" s="2">
        <v>57.5</v>
      </c>
      <c r="C72" s="2">
        <v>3.79</v>
      </c>
      <c r="D72" s="2">
        <v>217.9</v>
      </c>
      <c r="E72" s="6">
        <f t="shared" si="6"/>
        <v>72</v>
      </c>
      <c r="F72" s="6">
        <f t="shared" si="7"/>
        <v>68</v>
      </c>
      <c r="G72" s="2">
        <f t="shared" si="8"/>
        <v>70.8</v>
      </c>
      <c r="H72" s="7">
        <v>71</v>
      </c>
    </row>
    <row r="73" spans="1:8" ht="12.45" customHeight="1" x14ac:dyDescent="0.3">
      <c r="A73" s="2" t="s">
        <v>1609</v>
      </c>
      <c r="B73" s="2">
        <v>57.5</v>
      </c>
      <c r="C73" s="2">
        <v>3.79</v>
      </c>
      <c r="D73" s="2">
        <v>217.8</v>
      </c>
      <c r="E73" s="6">
        <f t="shared" si="6"/>
        <v>72</v>
      </c>
      <c r="F73" s="6">
        <f t="shared" si="7"/>
        <v>69</v>
      </c>
      <c r="G73" s="2">
        <f t="shared" si="8"/>
        <v>71.099999999999994</v>
      </c>
      <c r="H73" s="7">
        <v>72</v>
      </c>
    </row>
    <row r="74" spans="1:8" ht="12.45" customHeight="1" x14ac:dyDescent="0.3">
      <c r="A74" s="2" t="s">
        <v>1610</v>
      </c>
      <c r="B74" s="2">
        <v>53.5</v>
      </c>
      <c r="C74" s="2">
        <v>3.8</v>
      </c>
      <c r="D74" s="2">
        <v>203.1</v>
      </c>
      <c r="E74" s="6">
        <f t="shared" si="6"/>
        <v>68</v>
      </c>
      <c r="F74" s="6">
        <f t="shared" si="7"/>
        <v>83</v>
      </c>
      <c r="G74" s="2">
        <f t="shared" si="8"/>
        <v>72.5</v>
      </c>
      <c r="H74" s="7">
        <v>73</v>
      </c>
    </row>
    <row r="75" spans="1:8" ht="12.45" customHeight="1" x14ac:dyDescent="0.3">
      <c r="A75" s="2" t="s">
        <v>1611</v>
      </c>
      <c r="B75" s="2">
        <v>55.5</v>
      </c>
      <c r="C75" s="2">
        <v>3.79</v>
      </c>
      <c r="D75" s="2">
        <v>210.2</v>
      </c>
      <c r="E75" s="6">
        <f t="shared" si="6"/>
        <v>72</v>
      </c>
      <c r="F75" s="6">
        <f t="shared" si="7"/>
        <v>75</v>
      </c>
      <c r="G75" s="2">
        <f t="shared" si="8"/>
        <v>72.900000000000006</v>
      </c>
      <c r="H75" s="7">
        <v>74</v>
      </c>
    </row>
    <row r="76" spans="1:8" ht="12.45" customHeight="1" x14ac:dyDescent="0.3">
      <c r="A76" s="2" t="s">
        <v>1612</v>
      </c>
      <c r="B76" s="2">
        <v>58.5</v>
      </c>
      <c r="C76" s="2">
        <v>3.72</v>
      </c>
      <c r="D76" s="2">
        <v>217.35</v>
      </c>
      <c r="E76" s="6">
        <f t="shared" si="6"/>
        <v>77</v>
      </c>
      <c r="F76" s="6">
        <f t="shared" si="7"/>
        <v>70</v>
      </c>
      <c r="G76" s="2">
        <f t="shared" si="8"/>
        <v>74.900000000000006</v>
      </c>
      <c r="H76" s="7">
        <v>75</v>
      </c>
    </row>
    <row r="77" spans="1:8" ht="12.45" customHeight="1" x14ac:dyDescent="0.3">
      <c r="A77" s="2" t="s">
        <v>1613</v>
      </c>
      <c r="B77" s="2">
        <v>57.5</v>
      </c>
      <c r="C77" s="2">
        <v>3.73</v>
      </c>
      <c r="D77" s="2">
        <v>214.25</v>
      </c>
      <c r="E77" s="6">
        <f t="shared" si="6"/>
        <v>76</v>
      </c>
      <c r="F77" s="6">
        <f t="shared" si="7"/>
        <v>74</v>
      </c>
      <c r="G77" s="2">
        <f t="shared" si="8"/>
        <v>75.399999999999991</v>
      </c>
      <c r="H77" s="7">
        <v>76</v>
      </c>
    </row>
    <row r="78" spans="1:8" ht="12.45" customHeight="1" x14ac:dyDescent="0.3">
      <c r="A78" s="2" t="s">
        <v>1614</v>
      </c>
      <c r="B78" s="2">
        <v>59.5</v>
      </c>
      <c r="C78" s="2">
        <v>3.68</v>
      </c>
      <c r="D78" s="2">
        <v>218.85</v>
      </c>
      <c r="E78" s="6">
        <f t="shared" si="6"/>
        <v>80</v>
      </c>
      <c r="F78" s="6">
        <f t="shared" si="7"/>
        <v>67</v>
      </c>
      <c r="G78" s="2">
        <f t="shared" si="8"/>
        <v>76.099999999999994</v>
      </c>
      <c r="H78" s="7">
        <v>77</v>
      </c>
    </row>
    <row r="79" spans="1:8" ht="12.45" customHeight="1" x14ac:dyDescent="0.3">
      <c r="A79" s="2" t="s">
        <v>1615</v>
      </c>
      <c r="B79" s="2">
        <v>58</v>
      </c>
      <c r="C79" s="2">
        <v>3.71</v>
      </c>
      <c r="D79" s="2">
        <v>215.4</v>
      </c>
      <c r="E79" s="6">
        <f t="shared" si="6"/>
        <v>78</v>
      </c>
      <c r="F79" s="6">
        <f t="shared" si="7"/>
        <v>72</v>
      </c>
      <c r="G79" s="2">
        <f t="shared" si="8"/>
        <v>76.199999999999989</v>
      </c>
      <c r="H79" s="7">
        <v>78</v>
      </c>
    </row>
    <row r="80" spans="1:8" ht="12.45" customHeight="1" x14ac:dyDescent="0.3">
      <c r="A80" s="2" t="s">
        <v>1616</v>
      </c>
      <c r="B80" s="2">
        <v>53</v>
      </c>
      <c r="C80" s="2">
        <v>3.78</v>
      </c>
      <c r="D80" s="2">
        <v>200.1</v>
      </c>
      <c r="E80" s="6">
        <f t="shared" si="6"/>
        <v>75</v>
      </c>
      <c r="F80" s="6">
        <f t="shared" si="7"/>
        <v>85</v>
      </c>
      <c r="G80" s="2">
        <f t="shared" si="8"/>
        <v>78</v>
      </c>
      <c r="H80" s="7">
        <v>79</v>
      </c>
    </row>
    <row r="81" spans="1:8" ht="12.45" customHeight="1" x14ac:dyDescent="0.3">
      <c r="A81" s="2" t="s">
        <v>1617</v>
      </c>
      <c r="B81" s="2">
        <v>58.5</v>
      </c>
      <c r="C81" s="2">
        <v>3.58</v>
      </c>
      <c r="D81" s="2">
        <v>220.3</v>
      </c>
      <c r="E81" s="6">
        <f t="shared" si="6"/>
        <v>85</v>
      </c>
      <c r="F81" s="6">
        <f t="shared" si="7"/>
        <v>65</v>
      </c>
      <c r="G81" s="2">
        <f t="shared" si="8"/>
        <v>79</v>
      </c>
      <c r="H81" s="7">
        <v>80</v>
      </c>
    </row>
    <row r="82" spans="1:8" ht="12.45" customHeight="1" x14ac:dyDescent="0.3">
      <c r="A82" s="2" t="s">
        <v>1618</v>
      </c>
      <c r="B82" s="2">
        <v>55.5</v>
      </c>
      <c r="C82" s="2">
        <v>3.67</v>
      </c>
      <c r="D82" s="2">
        <v>203.85</v>
      </c>
      <c r="E82" s="6">
        <f t="shared" si="6"/>
        <v>81</v>
      </c>
      <c r="F82" s="6">
        <f t="shared" si="7"/>
        <v>81</v>
      </c>
      <c r="G82" s="2">
        <f t="shared" si="8"/>
        <v>81</v>
      </c>
      <c r="H82" s="7">
        <v>81</v>
      </c>
    </row>
    <row r="83" spans="1:8" ht="12.45" customHeight="1" x14ac:dyDescent="0.3">
      <c r="A83" s="2" t="s">
        <v>1619</v>
      </c>
      <c r="B83" s="2">
        <v>58</v>
      </c>
      <c r="C83" s="2">
        <v>3.59</v>
      </c>
      <c r="D83" s="2">
        <v>208.35</v>
      </c>
      <c r="E83" s="6">
        <f t="shared" si="6"/>
        <v>84</v>
      </c>
      <c r="F83" s="6">
        <f t="shared" si="7"/>
        <v>77</v>
      </c>
      <c r="G83" s="2">
        <f t="shared" si="8"/>
        <v>81.899999999999991</v>
      </c>
      <c r="H83" s="7">
        <v>82</v>
      </c>
    </row>
    <row r="84" spans="1:8" ht="12.45" customHeight="1" x14ac:dyDescent="0.3">
      <c r="A84" s="2" t="s">
        <v>1620</v>
      </c>
      <c r="B84" s="2">
        <v>48</v>
      </c>
      <c r="C84" s="2">
        <v>3.69</v>
      </c>
      <c r="D84" s="2">
        <v>176.95</v>
      </c>
      <c r="E84" s="6">
        <f t="shared" si="6"/>
        <v>79</v>
      </c>
      <c r="F84" s="6">
        <f t="shared" si="7"/>
        <v>99</v>
      </c>
      <c r="G84" s="2">
        <f t="shared" si="8"/>
        <v>85</v>
      </c>
      <c r="H84" s="7">
        <v>83</v>
      </c>
    </row>
    <row r="85" spans="1:8" ht="12.45" customHeight="1" x14ac:dyDescent="0.3">
      <c r="A85" s="2" t="s">
        <v>1621</v>
      </c>
      <c r="B85" s="2">
        <v>51</v>
      </c>
      <c r="C85" s="2">
        <v>3.65</v>
      </c>
      <c r="D85" s="2">
        <v>186.15</v>
      </c>
      <c r="E85" s="6">
        <f t="shared" si="6"/>
        <v>82</v>
      </c>
      <c r="F85" s="6">
        <f t="shared" si="7"/>
        <v>94</v>
      </c>
      <c r="G85" s="2">
        <f t="shared" si="8"/>
        <v>85.6</v>
      </c>
      <c r="H85" s="7">
        <v>84</v>
      </c>
    </row>
    <row r="86" spans="1:8" ht="12.45" customHeight="1" x14ac:dyDescent="0.3">
      <c r="A86" s="2" t="s">
        <v>1622</v>
      </c>
      <c r="B86" s="2">
        <v>51.5</v>
      </c>
      <c r="C86" s="2">
        <v>3.62</v>
      </c>
      <c r="D86" s="2">
        <v>186.45</v>
      </c>
      <c r="E86" s="6">
        <f t="shared" si="6"/>
        <v>83</v>
      </c>
      <c r="F86" s="6">
        <f t="shared" si="7"/>
        <v>92</v>
      </c>
      <c r="G86" s="2">
        <f t="shared" si="8"/>
        <v>85.699999999999989</v>
      </c>
      <c r="H86" s="7">
        <v>85</v>
      </c>
    </row>
    <row r="87" spans="1:8" ht="12.45" customHeight="1" x14ac:dyDescent="0.3">
      <c r="A87" s="2" t="s">
        <v>1624</v>
      </c>
      <c r="B87" s="2">
        <v>56</v>
      </c>
      <c r="C87" s="2">
        <v>3.54</v>
      </c>
      <c r="D87" s="2">
        <v>198.45</v>
      </c>
      <c r="E87" s="6">
        <f t="shared" si="6"/>
        <v>87</v>
      </c>
      <c r="F87" s="6">
        <f t="shared" si="7"/>
        <v>86</v>
      </c>
      <c r="G87" s="2">
        <f t="shared" si="8"/>
        <v>86.7</v>
      </c>
      <c r="H87" s="7">
        <v>86</v>
      </c>
    </row>
    <row r="88" spans="1:8" ht="12.45" customHeight="1" x14ac:dyDescent="0.3">
      <c r="A88" s="2" t="s">
        <v>1625</v>
      </c>
      <c r="B88" s="2">
        <v>57</v>
      </c>
      <c r="C88" s="2">
        <v>3.53</v>
      </c>
      <c r="D88" s="2">
        <v>201.15</v>
      </c>
      <c r="E88" s="6">
        <f t="shared" si="6"/>
        <v>88</v>
      </c>
      <c r="F88" s="6">
        <f t="shared" si="7"/>
        <v>84</v>
      </c>
      <c r="G88" s="2">
        <f t="shared" si="8"/>
        <v>86.8</v>
      </c>
      <c r="H88" s="7">
        <v>87</v>
      </c>
    </row>
    <row r="89" spans="1:8" ht="12.45" customHeight="1" x14ac:dyDescent="0.3">
      <c r="A89" s="2" t="s">
        <v>1626</v>
      </c>
      <c r="B89" s="2">
        <v>58.5</v>
      </c>
      <c r="C89" s="2">
        <v>3.48</v>
      </c>
      <c r="D89" s="2">
        <v>203.4</v>
      </c>
      <c r="E89" s="6">
        <f t="shared" si="6"/>
        <v>89</v>
      </c>
      <c r="F89" s="6">
        <f t="shared" si="7"/>
        <v>82</v>
      </c>
      <c r="G89" s="2">
        <f t="shared" si="8"/>
        <v>86.899999999999991</v>
      </c>
      <c r="H89" s="7">
        <v>88</v>
      </c>
    </row>
    <row r="90" spans="1:8" ht="12.45" customHeight="1" x14ac:dyDescent="0.3">
      <c r="A90" s="2" t="s">
        <v>1623</v>
      </c>
      <c r="B90" s="2">
        <v>53</v>
      </c>
      <c r="C90" s="2">
        <v>3.57</v>
      </c>
      <c r="D90" s="2">
        <v>189.3</v>
      </c>
      <c r="E90" s="6">
        <f t="shared" si="6"/>
        <v>86</v>
      </c>
      <c r="F90" s="6">
        <f t="shared" si="7"/>
        <v>90</v>
      </c>
      <c r="G90" s="2">
        <f t="shared" si="8"/>
        <v>87.199999999999989</v>
      </c>
      <c r="H90" s="7">
        <v>89</v>
      </c>
    </row>
    <row r="91" spans="1:8" ht="12.45" customHeight="1" x14ac:dyDescent="0.3">
      <c r="A91" s="2" t="s">
        <v>1627</v>
      </c>
      <c r="B91" s="2">
        <v>60.5</v>
      </c>
      <c r="C91" s="2">
        <v>3.43</v>
      </c>
      <c r="D91" s="2">
        <v>207.3</v>
      </c>
      <c r="E91" s="6">
        <f t="shared" si="6"/>
        <v>92</v>
      </c>
      <c r="F91" s="6">
        <f t="shared" si="7"/>
        <v>79</v>
      </c>
      <c r="G91" s="2">
        <f t="shared" si="8"/>
        <v>88.1</v>
      </c>
      <c r="H91" s="7">
        <v>90</v>
      </c>
    </row>
    <row r="92" spans="1:8" ht="12.45" customHeight="1" x14ac:dyDescent="0.3">
      <c r="A92" s="2" t="s">
        <v>1628</v>
      </c>
      <c r="B92" s="2">
        <v>56.5</v>
      </c>
      <c r="C92" s="2">
        <v>3.44</v>
      </c>
      <c r="D92" s="2">
        <v>194.55</v>
      </c>
      <c r="E92" s="6">
        <f t="shared" si="6"/>
        <v>90</v>
      </c>
      <c r="F92" s="6">
        <f t="shared" si="7"/>
        <v>87</v>
      </c>
      <c r="G92" s="2">
        <f t="shared" si="8"/>
        <v>89.1</v>
      </c>
      <c r="H92" s="7">
        <v>91</v>
      </c>
    </row>
    <row r="93" spans="1:8" ht="12.45" customHeight="1" x14ac:dyDescent="0.3">
      <c r="A93" s="2" t="s">
        <v>1629</v>
      </c>
      <c r="B93" s="2">
        <v>53.5</v>
      </c>
      <c r="C93" s="2">
        <v>3.44</v>
      </c>
      <c r="D93" s="2">
        <v>194.15</v>
      </c>
      <c r="E93" s="6">
        <f t="shared" si="6"/>
        <v>90</v>
      </c>
      <c r="F93" s="6">
        <f t="shared" si="7"/>
        <v>88</v>
      </c>
      <c r="G93" s="2">
        <f t="shared" si="8"/>
        <v>89.399999999999991</v>
      </c>
      <c r="H93" s="7">
        <v>92</v>
      </c>
    </row>
    <row r="94" spans="1:8" ht="12.45" customHeight="1" x14ac:dyDescent="0.3">
      <c r="A94" s="2" t="s">
        <v>1630</v>
      </c>
      <c r="B94" s="2">
        <v>55.5</v>
      </c>
      <c r="C94" s="2">
        <v>3.37</v>
      </c>
      <c r="D94" s="2">
        <v>187.15</v>
      </c>
      <c r="E94" s="6">
        <f t="shared" si="6"/>
        <v>93</v>
      </c>
      <c r="F94" s="6">
        <f t="shared" si="7"/>
        <v>91</v>
      </c>
      <c r="G94" s="2">
        <f t="shared" si="8"/>
        <v>92.399999999999991</v>
      </c>
      <c r="H94" s="7">
        <v>93</v>
      </c>
    </row>
    <row r="95" spans="1:8" ht="12.45" customHeight="1" x14ac:dyDescent="0.3">
      <c r="A95" s="2" t="s">
        <v>1631</v>
      </c>
      <c r="B95" s="2">
        <v>58</v>
      </c>
      <c r="C95" s="2">
        <v>3.36</v>
      </c>
      <c r="D95" s="2">
        <v>189.9</v>
      </c>
      <c r="E95" s="6">
        <f t="shared" si="6"/>
        <v>94</v>
      </c>
      <c r="F95" s="6">
        <f t="shared" si="7"/>
        <v>89</v>
      </c>
      <c r="G95" s="2">
        <f t="shared" si="8"/>
        <v>92.5</v>
      </c>
      <c r="H95" s="7">
        <v>94</v>
      </c>
    </row>
    <row r="96" spans="1:8" ht="12.45" customHeight="1" x14ac:dyDescent="0.3">
      <c r="A96" s="2" t="s">
        <v>1632</v>
      </c>
      <c r="B96" s="2">
        <v>52</v>
      </c>
      <c r="C96" s="2">
        <v>3.36</v>
      </c>
      <c r="D96" s="2">
        <v>182.95</v>
      </c>
      <c r="E96" s="6">
        <f t="shared" si="6"/>
        <v>94</v>
      </c>
      <c r="F96" s="6">
        <f t="shared" si="7"/>
        <v>95</v>
      </c>
      <c r="G96" s="2">
        <f t="shared" si="8"/>
        <v>94.3</v>
      </c>
      <c r="H96" s="7">
        <v>95</v>
      </c>
    </row>
    <row r="97" spans="1:8" ht="12.45" customHeight="1" x14ac:dyDescent="0.3">
      <c r="A97" s="2" t="s">
        <v>1633</v>
      </c>
      <c r="B97" s="2">
        <v>53</v>
      </c>
      <c r="C97" s="2">
        <v>3.33</v>
      </c>
      <c r="D97" s="2">
        <v>186.45</v>
      </c>
      <c r="E97" s="6">
        <f t="shared" si="6"/>
        <v>96</v>
      </c>
      <c r="F97" s="6">
        <f t="shared" si="7"/>
        <v>92</v>
      </c>
      <c r="G97" s="2">
        <f t="shared" si="8"/>
        <v>94.799999999999983</v>
      </c>
      <c r="H97" s="7">
        <v>96</v>
      </c>
    </row>
    <row r="98" spans="1:8" ht="12.45" customHeight="1" x14ac:dyDescent="0.3">
      <c r="A98" s="2" t="s">
        <v>1634</v>
      </c>
      <c r="B98" s="2">
        <v>51.5</v>
      </c>
      <c r="C98" s="2">
        <v>3.33</v>
      </c>
      <c r="D98" s="2">
        <v>171.45</v>
      </c>
      <c r="E98" s="6">
        <f t="shared" ref="E98:E110" si="9">_xlfn.RANK.EQ(C98,C:C,0)</f>
        <v>96</v>
      </c>
      <c r="F98" s="6">
        <f t="shared" ref="F98:F110" si="10">_xlfn.RANK.EQ(D98,D:D,0)</f>
        <v>100</v>
      </c>
      <c r="G98" s="2">
        <f t="shared" ref="G98:G110" si="11">E98*0.7+F98*0.3</f>
        <v>97.199999999999989</v>
      </c>
      <c r="H98" s="7">
        <v>97</v>
      </c>
    </row>
    <row r="99" spans="1:8" ht="12.45" customHeight="1" x14ac:dyDescent="0.3">
      <c r="A99" s="2" t="s">
        <v>1635</v>
      </c>
      <c r="B99" s="2">
        <v>51.5</v>
      </c>
      <c r="C99" s="2">
        <v>3.29</v>
      </c>
      <c r="D99" s="2">
        <v>179.25</v>
      </c>
      <c r="E99" s="6">
        <f t="shared" si="9"/>
        <v>98</v>
      </c>
      <c r="F99" s="6">
        <f t="shared" si="10"/>
        <v>97</v>
      </c>
      <c r="G99" s="2">
        <f t="shared" si="11"/>
        <v>97.699999999999989</v>
      </c>
      <c r="H99" s="7">
        <v>98</v>
      </c>
    </row>
    <row r="100" spans="1:8" ht="12.45" customHeight="1" x14ac:dyDescent="0.3">
      <c r="A100" s="2" t="s">
        <v>1636</v>
      </c>
      <c r="B100" s="2">
        <v>56</v>
      </c>
      <c r="C100" s="2">
        <v>3.25</v>
      </c>
      <c r="D100" s="2">
        <v>182.25</v>
      </c>
      <c r="E100" s="6">
        <f t="shared" si="9"/>
        <v>99</v>
      </c>
      <c r="F100" s="6">
        <f t="shared" si="10"/>
        <v>96</v>
      </c>
      <c r="G100" s="2">
        <f t="shared" si="11"/>
        <v>98.1</v>
      </c>
      <c r="H100" s="7">
        <v>99</v>
      </c>
    </row>
    <row r="101" spans="1:8" ht="12.45" customHeight="1" x14ac:dyDescent="0.3">
      <c r="A101" s="2" t="s">
        <v>1637</v>
      </c>
      <c r="B101" s="2">
        <v>51.5</v>
      </c>
      <c r="C101" s="2">
        <v>3.1</v>
      </c>
      <c r="D101" s="2">
        <v>169.2</v>
      </c>
      <c r="E101" s="6">
        <f t="shared" si="9"/>
        <v>100</v>
      </c>
      <c r="F101" s="6">
        <f t="shared" si="10"/>
        <v>101</v>
      </c>
      <c r="G101" s="2">
        <f t="shared" si="11"/>
        <v>100.3</v>
      </c>
      <c r="H101" s="7">
        <v>100</v>
      </c>
    </row>
    <row r="102" spans="1:8" ht="12.45" customHeight="1" x14ac:dyDescent="0.3">
      <c r="A102" s="2" t="s">
        <v>1638</v>
      </c>
      <c r="B102" s="2">
        <v>57</v>
      </c>
      <c r="C102" s="2">
        <v>3.03</v>
      </c>
      <c r="D102" s="2">
        <v>177</v>
      </c>
      <c r="E102" s="6">
        <f t="shared" si="9"/>
        <v>102</v>
      </c>
      <c r="F102" s="6">
        <f t="shared" si="10"/>
        <v>98</v>
      </c>
      <c r="G102" s="2">
        <f t="shared" si="11"/>
        <v>100.79999999999998</v>
      </c>
      <c r="H102" s="7">
        <v>101</v>
      </c>
    </row>
    <row r="103" spans="1:8" ht="12.45" customHeight="1" x14ac:dyDescent="0.3">
      <c r="A103" s="2" t="s">
        <v>1639</v>
      </c>
      <c r="B103" s="2">
        <v>55</v>
      </c>
      <c r="C103" s="2">
        <v>3.07</v>
      </c>
      <c r="D103" s="2">
        <v>168.6</v>
      </c>
      <c r="E103" s="6">
        <f t="shared" si="9"/>
        <v>101</v>
      </c>
      <c r="F103" s="6">
        <f t="shared" si="10"/>
        <v>102</v>
      </c>
      <c r="G103" s="2">
        <f t="shared" si="11"/>
        <v>101.29999999999998</v>
      </c>
      <c r="H103" s="7">
        <v>102</v>
      </c>
    </row>
    <row r="104" spans="1:8" ht="12.45" customHeight="1" x14ac:dyDescent="0.3">
      <c r="A104" s="2" t="s">
        <v>1640</v>
      </c>
      <c r="B104" s="2">
        <v>39</v>
      </c>
      <c r="C104" s="2">
        <v>2.68</v>
      </c>
      <c r="D104" s="2">
        <v>143.35</v>
      </c>
      <c r="E104" s="6">
        <f t="shared" si="9"/>
        <v>103</v>
      </c>
      <c r="F104" s="6">
        <f t="shared" si="10"/>
        <v>104</v>
      </c>
      <c r="G104" s="2">
        <f t="shared" si="11"/>
        <v>103.3</v>
      </c>
      <c r="H104" s="7">
        <v>103</v>
      </c>
    </row>
    <row r="105" spans="1:8" ht="12.45" customHeight="1" x14ac:dyDescent="0.3">
      <c r="A105" s="2" t="s">
        <v>1641</v>
      </c>
      <c r="B105" s="2">
        <v>49.5</v>
      </c>
      <c r="C105" s="2">
        <v>2.54</v>
      </c>
      <c r="D105" s="2">
        <v>143.75</v>
      </c>
      <c r="E105" s="6">
        <f t="shared" si="9"/>
        <v>104</v>
      </c>
      <c r="F105" s="6">
        <f t="shared" si="10"/>
        <v>103</v>
      </c>
      <c r="G105" s="2">
        <f t="shared" si="11"/>
        <v>103.69999999999999</v>
      </c>
      <c r="H105" s="7">
        <v>104</v>
      </c>
    </row>
    <row r="106" spans="1:8" ht="12.45" customHeight="1" x14ac:dyDescent="0.3">
      <c r="A106" s="2" t="s">
        <v>1642</v>
      </c>
      <c r="B106" s="2">
        <v>37</v>
      </c>
      <c r="C106" s="2">
        <v>2.34</v>
      </c>
      <c r="D106" s="2">
        <v>112.5</v>
      </c>
      <c r="E106" s="6">
        <f t="shared" si="9"/>
        <v>105</v>
      </c>
      <c r="F106" s="6">
        <f t="shared" si="10"/>
        <v>105</v>
      </c>
      <c r="G106" s="2">
        <f t="shared" si="11"/>
        <v>105</v>
      </c>
      <c r="H106" s="7">
        <v>105</v>
      </c>
    </row>
    <row r="107" spans="1:8" ht="12.45" customHeight="1" x14ac:dyDescent="0.3">
      <c r="A107" s="2" t="s">
        <v>1643</v>
      </c>
      <c r="B107" s="2">
        <v>41.5</v>
      </c>
      <c r="C107" s="2">
        <v>2.17</v>
      </c>
      <c r="D107" s="2">
        <v>107.55</v>
      </c>
      <c r="E107" s="6">
        <f t="shared" si="9"/>
        <v>106</v>
      </c>
      <c r="F107" s="6">
        <f t="shared" si="10"/>
        <v>106</v>
      </c>
      <c r="G107" s="2">
        <f t="shared" si="11"/>
        <v>105.99999999999999</v>
      </c>
      <c r="H107" s="7">
        <v>106</v>
      </c>
    </row>
    <row r="108" spans="1:8" ht="12.45" customHeight="1" x14ac:dyDescent="0.3">
      <c r="A108" s="2" t="s">
        <v>1644</v>
      </c>
      <c r="B108" s="2">
        <v>37</v>
      </c>
      <c r="C108" s="2">
        <v>2.0499999999999998</v>
      </c>
      <c r="D108" s="2">
        <v>98.4</v>
      </c>
      <c r="E108" s="6">
        <f t="shared" si="9"/>
        <v>107</v>
      </c>
      <c r="F108" s="6">
        <f t="shared" si="10"/>
        <v>108</v>
      </c>
      <c r="G108" s="2">
        <f t="shared" si="11"/>
        <v>107.29999999999998</v>
      </c>
      <c r="H108" s="7">
        <v>107</v>
      </c>
    </row>
    <row r="109" spans="1:8" ht="12.45" customHeight="1" x14ac:dyDescent="0.3">
      <c r="A109" s="2" t="s">
        <v>1645</v>
      </c>
      <c r="B109" s="2">
        <v>37</v>
      </c>
      <c r="C109" s="2">
        <v>2.0099999999999998</v>
      </c>
      <c r="D109" s="2">
        <v>102.45</v>
      </c>
      <c r="E109" s="6">
        <f t="shared" si="9"/>
        <v>108</v>
      </c>
      <c r="F109" s="6">
        <f t="shared" si="10"/>
        <v>107</v>
      </c>
      <c r="G109" s="2">
        <f t="shared" si="11"/>
        <v>107.69999999999999</v>
      </c>
      <c r="H109" s="7">
        <v>108</v>
      </c>
    </row>
    <row r="110" spans="1:8" ht="12.45" customHeight="1" x14ac:dyDescent="0.3">
      <c r="A110" s="2" t="s">
        <v>1646</v>
      </c>
      <c r="B110" s="2">
        <v>33</v>
      </c>
      <c r="C110" s="2">
        <v>1.04</v>
      </c>
      <c r="D110" s="2">
        <v>57.75</v>
      </c>
      <c r="E110" s="6">
        <f t="shared" si="9"/>
        <v>109</v>
      </c>
      <c r="F110" s="6">
        <f t="shared" si="10"/>
        <v>109</v>
      </c>
      <c r="G110" s="2">
        <f t="shared" si="11"/>
        <v>109</v>
      </c>
      <c r="H110" s="7">
        <v>109</v>
      </c>
    </row>
  </sheetData>
  <autoFilter ref="A1:H110" xr:uid="{ED3914FB-16EE-4249-B2BF-16747EA48204}">
    <sortState xmlns:xlrd2="http://schemas.microsoft.com/office/spreadsheetml/2017/richdata2" ref="A3:H110">
      <sortCondition ref="H2:H110"/>
    </sortState>
  </autoFilter>
  <sortState xmlns:xlrd2="http://schemas.microsoft.com/office/spreadsheetml/2017/richdata2" ref="A2:H121">
    <sortCondition ref="H70:H121"/>
  </sortState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2CE4-47D8-403C-853E-C3B691FDA9B1}">
  <sheetPr>
    <outlinePr summaryBelow="0" summaryRight="0"/>
  </sheetPr>
  <dimension ref="A1:H71"/>
  <sheetViews>
    <sheetView topLeftCell="A73" zoomScaleNormal="100" workbookViewId="0">
      <selection activeCell="I9" sqref="I9"/>
    </sheetView>
  </sheetViews>
  <sheetFormatPr defaultColWidth="8.6328125" defaultRowHeight="12.45" customHeight="1" x14ac:dyDescent="0.25"/>
  <cols>
    <col min="1" max="1" width="11.90625" style="1" customWidth="1"/>
    <col min="2" max="2" width="8.26953125" style="1" customWidth="1"/>
    <col min="3" max="3" width="10.453125" style="1" customWidth="1"/>
    <col min="4" max="4" width="7.90625" style="1" customWidth="1"/>
    <col min="5" max="5" width="10.6328125" style="1" customWidth="1"/>
    <col min="6" max="6" width="9.08984375" style="1" customWidth="1"/>
    <col min="7" max="7" width="11.36328125" style="1" customWidth="1"/>
    <col min="8" max="8" width="8" style="1" customWidth="1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2.45" customHeight="1" x14ac:dyDescent="0.3">
      <c r="A2" s="2" t="s">
        <v>1647</v>
      </c>
      <c r="B2" s="2">
        <v>58</v>
      </c>
      <c r="C2" s="2">
        <v>4.66</v>
      </c>
      <c r="D2" s="2">
        <v>270</v>
      </c>
      <c r="E2" s="6">
        <f t="shared" ref="E2:E33" si="0">_xlfn.RANK.EQ(C2,C:C,0)</f>
        <v>1</v>
      </c>
      <c r="F2" s="6">
        <f t="shared" ref="F2:F33" si="1">_xlfn.RANK.EQ(D2,D:D,0)</f>
        <v>3</v>
      </c>
      <c r="G2" s="2">
        <f t="shared" ref="G2:G33" si="2">E2*0.7+F2*0.3</f>
        <v>1.5999999999999999</v>
      </c>
      <c r="H2" s="7">
        <v>1</v>
      </c>
    </row>
    <row r="3" spans="1:8" ht="12.45" customHeight="1" x14ac:dyDescent="0.3">
      <c r="A3" s="2" t="s">
        <v>1648</v>
      </c>
      <c r="B3" s="2">
        <v>63.5</v>
      </c>
      <c r="C3" s="2">
        <v>4.59</v>
      </c>
      <c r="D3" s="2">
        <v>286.60000000000002</v>
      </c>
      <c r="E3" s="6">
        <f t="shared" si="0"/>
        <v>2</v>
      </c>
      <c r="F3" s="6">
        <f t="shared" si="1"/>
        <v>1</v>
      </c>
      <c r="G3" s="2">
        <f t="shared" si="2"/>
        <v>1.7</v>
      </c>
      <c r="H3" s="7">
        <v>2</v>
      </c>
    </row>
    <row r="4" spans="1:8" ht="12.45" customHeight="1" x14ac:dyDescent="0.3">
      <c r="A4" s="2" t="s">
        <v>1649</v>
      </c>
      <c r="B4" s="2">
        <v>58.5</v>
      </c>
      <c r="C4" s="2">
        <v>4.58</v>
      </c>
      <c r="D4" s="2">
        <v>267.64999999999998</v>
      </c>
      <c r="E4" s="6">
        <f t="shared" si="0"/>
        <v>3</v>
      </c>
      <c r="F4" s="6">
        <f t="shared" si="1"/>
        <v>4</v>
      </c>
      <c r="G4" s="2">
        <f t="shared" si="2"/>
        <v>3.3</v>
      </c>
      <c r="H4" s="7">
        <v>3</v>
      </c>
    </row>
    <row r="5" spans="1:8" ht="12.45" customHeight="1" x14ac:dyDescent="0.3">
      <c r="A5" s="2" t="s">
        <v>1650</v>
      </c>
      <c r="B5" s="2">
        <v>58.5</v>
      </c>
      <c r="C5" s="2">
        <v>4.5599999999999996</v>
      </c>
      <c r="D5" s="2">
        <v>267</v>
      </c>
      <c r="E5" s="6">
        <f t="shared" si="0"/>
        <v>4</v>
      </c>
      <c r="F5" s="6">
        <f t="shared" si="1"/>
        <v>5</v>
      </c>
      <c r="G5" s="2">
        <f t="shared" si="2"/>
        <v>4.3</v>
      </c>
      <c r="H5" s="7">
        <v>4</v>
      </c>
    </row>
    <row r="6" spans="1:8" ht="12.45" customHeight="1" x14ac:dyDescent="0.3">
      <c r="A6" s="2" t="s">
        <v>1651</v>
      </c>
      <c r="B6" s="2">
        <v>57</v>
      </c>
      <c r="C6" s="2">
        <v>4.5599999999999996</v>
      </c>
      <c r="D6" s="2">
        <v>260</v>
      </c>
      <c r="E6" s="6">
        <f t="shared" si="0"/>
        <v>4</v>
      </c>
      <c r="F6" s="6">
        <f t="shared" si="1"/>
        <v>9</v>
      </c>
      <c r="G6" s="2">
        <f t="shared" si="2"/>
        <v>5.5</v>
      </c>
      <c r="H6" s="7">
        <v>5</v>
      </c>
    </row>
    <row r="7" spans="1:8" ht="12.45" customHeight="1" x14ac:dyDescent="0.3">
      <c r="A7" s="2" t="s">
        <v>1652</v>
      </c>
      <c r="B7" s="2">
        <v>58.5</v>
      </c>
      <c r="C7" s="2">
        <v>4.51</v>
      </c>
      <c r="D7" s="2">
        <v>263.75</v>
      </c>
      <c r="E7" s="6">
        <f t="shared" si="0"/>
        <v>9</v>
      </c>
      <c r="F7" s="6">
        <f t="shared" si="1"/>
        <v>6</v>
      </c>
      <c r="G7" s="2">
        <f t="shared" si="2"/>
        <v>8.1</v>
      </c>
      <c r="H7" s="7">
        <v>6</v>
      </c>
    </row>
    <row r="8" spans="1:8" ht="12.45" customHeight="1" x14ac:dyDescent="0.3">
      <c r="A8" s="2" t="s">
        <v>1653</v>
      </c>
      <c r="B8" s="2">
        <v>56.5</v>
      </c>
      <c r="C8" s="2">
        <v>4.54</v>
      </c>
      <c r="D8" s="2">
        <v>256.5</v>
      </c>
      <c r="E8" s="6">
        <f t="shared" si="0"/>
        <v>7</v>
      </c>
      <c r="F8" s="6">
        <f t="shared" si="1"/>
        <v>11</v>
      </c>
      <c r="G8" s="2">
        <f t="shared" si="2"/>
        <v>8.1999999999999993</v>
      </c>
      <c r="H8" s="7">
        <v>7</v>
      </c>
    </row>
    <row r="9" spans="1:8" ht="12.45" customHeight="1" x14ac:dyDescent="0.3">
      <c r="A9" s="2" t="s">
        <v>1654</v>
      </c>
      <c r="B9" s="2">
        <v>57</v>
      </c>
      <c r="C9" s="2">
        <v>4.49</v>
      </c>
      <c r="D9" s="2">
        <v>256</v>
      </c>
      <c r="E9" s="6">
        <f t="shared" si="0"/>
        <v>10</v>
      </c>
      <c r="F9" s="6">
        <f t="shared" si="1"/>
        <v>12</v>
      </c>
      <c r="G9" s="2">
        <f t="shared" si="2"/>
        <v>10.6</v>
      </c>
      <c r="H9" s="7">
        <v>8</v>
      </c>
    </row>
    <row r="10" spans="1:8" ht="12.45" customHeight="1" x14ac:dyDescent="0.3">
      <c r="A10" s="2" t="s">
        <v>1655</v>
      </c>
      <c r="B10" s="2">
        <v>55</v>
      </c>
      <c r="C10" s="2">
        <v>4.53</v>
      </c>
      <c r="D10" s="2">
        <v>248.9</v>
      </c>
      <c r="E10" s="6">
        <f t="shared" si="0"/>
        <v>8</v>
      </c>
      <c r="F10" s="6">
        <f t="shared" si="1"/>
        <v>17</v>
      </c>
      <c r="G10" s="2">
        <f t="shared" si="2"/>
        <v>10.7</v>
      </c>
      <c r="H10" s="7">
        <v>9</v>
      </c>
    </row>
    <row r="11" spans="1:8" ht="12.45" customHeight="1" x14ac:dyDescent="0.3">
      <c r="A11" s="2" t="s">
        <v>1656</v>
      </c>
      <c r="B11" s="2">
        <v>53.5</v>
      </c>
      <c r="C11" s="2">
        <v>4.55</v>
      </c>
      <c r="D11" s="2">
        <v>243.2</v>
      </c>
      <c r="E11" s="6">
        <f t="shared" si="0"/>
        <v>6</v>
      </c>
      <c r="F11" s="6">
        <f t="shared" si="1"/>
        <v>22</v>
      </c>
      <c r="G11" s="2">
        <f t="shared" si="2"/>
        <v>10.799999999999999</v>
      </c>
      <c r="H11" s="7">
        <v>10</v>
      </c>
    </row>
    <row r="12" spans="1:8" ht="12.45" customHeight="1" x14ac:dyDescent="0.3">
      <c r="A12" s="2" t="s">
        <v>1657</v>
      </c>
      <c r="B12" s="2">
        <v>64</v>
      </c>
      <c r="C12" s="2">
        <v>4.38</v>
      </c>
      <c r="D12" s="2">
        <v>280.25</v>
      </c>
      <c r="E12" s="6">
        <f t="shared" si="0"/>
        <v>15</v>
      </c>
      <c r="F12" s="6">
        <f t="shared" si="1"/>
        <v>2</v>
      </c>
      <c r="G12" s="2">
        <f t="shared" si="2"/>
        <v>11.1</v>
      </c>
      <c r="H12" s="7">
        <v>11</v>
      </c>
    </row>
    <row r="13" spans="1:8" ht="12.45" customHeight="1" x14ac:dyDescent="0.3">
      <c r="A13" s="2" t="s">
        <v>1658</v>
      </c>
      <c r="B13" s="2">
        <v>59</v>
      </c>
      <c r="C13" s="2">
        <v>4.41</v>
      </c>
      <c r="D13" s="2">
        <v>260.45</v>
      </c>
      <c r="E13" s="6">
        <f t="shared" si="0"/>
        <v>13</v>
      </c>
      <c r="F13" s="6">
        <f t="shared" si="1"/>
        <v>8</v>
      </c>
      <c r="G13" s="2">
        <f t="shared" si="2"/>
        <v>11.5</v>
      </c>
      <c r="H13" s="7">
        <v>12</v>
      </c>
    </row>
    <row r="14" spans="1:8" ht="12.45" customHeight="1" x14ac:dyDescent="0.3">
      <c r="A14" s="2" t="s">
        <v>1659</v>
      </c>
      <c r="B14" s="2">
        <v>56</v>
      </c>
      <c r="C14" s="2">
        <v>4.45</v>
      </c>
      <c r="D14" s="2">
        <v>249.2</v>
      </c>
      <c r="E14" s="6">
        <f t="shared" si="0"/>
        <v>12</v>
      </c>
      <c r="F14" s="6">
        <f t="shared" si="1"/>
        <v>16</v>
      </c>
      <c r="G14" s="2">
        <f t="shared" si="2"/>
        <v>13.2</v>
      </c>
      <c r="H14" s="7">
        <v>13</v>
      </c>
    </row>
    <row r="15" spans="1:8" ht="12.45" customHeight="1" x14ac:dyDescent="0.3">
      <c r="A15" s="2" t="s">
        <v>1660</v>
      </c>
      <c r="B15" s="2">
        <v>61</v>
      </c>
      <c r="C15" s="2">
        <v>4.3</v>
      </c>
      <c r="D15" s="2">
        <v>262.05</v>
      </c>
      <c r="E15" s="6">
        <f t="shared" si="0"/>
        <v>18</v>
      </c>
      <c r="F15" s="6">
        <f t="shared" si="1"/>
        <v>7</v>
      </c>
      <c r="G15" s="2">
        <f t="shared" si="2"/>
        <v>14.7</v>
      </c>
      <c r="H15" s="7">
        <v>14</v>
      </c>
    </row>
    <row r="16" spans="1:8" ht="12.45" customHeight="1" x14ac:dyDescent="0.3">
      <c r="A16" s="2" t="s">
        <v>1661</v>
      </c>
      <c r="B16" s="2">
        <v>56.5</v>
      </c>
      <c r="C16" s="2">
        <v>4.3899999999999997</v>
      </c>
      <c r="D16" s="2">
        <v>248</v>
      </c>
      <c r="E16" s="6">
        <f t="shared" si="0"/>
        <v>14</v>
      </c>
      <c r="F16" s="6">
        <f t="shared" si="1"/>
        <v>18</v>
      </c>
      <c r="G16" s="2">
        <f t="shared" si="2"/>
        <v>15.2</v>
      </c>
      <c r="H16" s="7">
        <v>15</v>
      </c>
    </row>
    <row r="17" spans="1:8" ht="12.45" customHeight="1" x14ac:dyDescent="0.3">
      <c r="A17" s="2" t="s">
        <v>1662</v>
      </c>
      <c r="B17" s="2">
        <v>52.5</v>
      </c>
      <c r="C17" s="2">
        <v>4.49</v>
      </c>
      <c r="D17" s="2">
        <v>235.6</v>
      </c>
      <c r="E17" s="6">
        <f t="shared" si="0"/>
        <v>10</v>
      </c>
      <c r="F17" s="6">
        <f t="shared" si="1"/>
        <v>30</v>
      </c>
      <c r="G17" s="2">
        <f t="shared" si="2"/>
        <v>16</v>
      </c>
      <c r="H17" s="7">
        <v>16</v>
      </c>
    </row>
    <row r="18" spans="1:8" ht="12.45" customHeight="1" x14ac:dyDescent="0.3">
      <c r="A18" s="2" t="s">
        <v>1663</v>
      </c>
      <c r="B18" s="2">
        <v>59</v>
      </c>
      <c r="C18" s="2">
        <v>4.28</v>
      </c>
      <c r="D18" s="2">
        <v>252.45</v>
      </c>
      <c r="E18" s="6">
        <f t="shared" si="0"/>
        <v>20</v>
      </c>
      <c r="F18" s="6">
        <f t="shared" si="1"/>
        <v>14</v>
      </c>
      <c r="G18" s="2">
        <f t="shared" si="2"/>
        <v>18.2</v>
      </c>
      <c r="H18" s="7">
        <v>17</v>
      </c>
    </row>
    <row r="19" spans="1:8" ht="12.45" customHeight="1" x14ac:dyDescent="0.3">
      <c r="A19" s="2" t="s">
        <v>1664</v>
      </c>
      <c r="B19" s="2">
        <v>59</v>
      </c>
      <c r="C19" s="2">
        <v>4.26</v>
      </c>
      <c r="D19" s="2">
        <v>257.5</v>
      </c>
      <c r="E19" s="6">
        <f t="shared" si="0"/>
        <v>23</v>
      </c>
      <c r="F19" s="6">
        <f t="shared" si="1"/>
        <v>10</v>
      </c>
      <c r="G19" s="2">
        <f t="shared" si="2"/>
        <v>19.099999999999998</v>
      </c>
      <c r="H19" s="7">
        <v>18</v>
      </c>
    </row>
    <row r="20" spans="1:8" ht="12.45" customHeight="1" x14ac:dyDescent="0.3">
      <c r="A20" s="2" t="s">
        <v>1665</v>
      </c>
      <c r="B20" s="2">
        <v>59</v>
      </c>
      <c r="C20" s="2">
        <v>4.2699999999999996</v>
      </c>
      <c r="D20" s="2">
        <v>251.75</v>
      </c>
      <c r="E20" s="6">
        <f t="shared" si="0"/>
        <v>21</v>
      </c>
      <c r="F20" s="6">
        <f t="shared" si="1"/>
        <v>15</v>
      </c>
      <c r="G20" s="2">
        <f t="shared" si="2"/>
        <v>19.2</v>
      </c>
      <c r="H20" s="7">
        <v>19</v>
      </c>
    </row>
    <row r="21" spans="1:8" ht="12.45" customHeight="1" x14ac:dyDescent="0.3">
      <c r="A21" s="2" t="s">
        <v>1666</v>
      </c>
      <c r="B21" s="2">
        <v>55.5</v>
      </c>
      <c r="C21" s="2">
        <v>4.32</v>
      </c>
      <c r="D21" s="2">
        <v>239.9</v>
      </c>
      <c r="E21" s="6">
        <f t="shared" si="0"/>
        <v>16</v>
      </c>
      <c r="F21" s="6">
        <f t="shared" si="1"/>
        <v>27</v>
      </c>
      <c r="G21" s="2">
        <f t="shared" si="2"/>
        <v>19.299999999999997</v>
      </c>
      <c r="H21" s="7">
        <v>20</v>
      </c>
    </row>
    <row r="22" spans="1:8" ht="12.45" customHeight="1" x14ac:dyDescent="0.3">
      <c r="A22" s="2" t="s">
        <v>1667</v>
      </c>
      <c r="B22" s="2">
        <v>55.5</v>
      </c>
      <c r="C22" s="2">
        <v>4.32</v>
      </c>
      <c r="D22" s="2">
        <v>239.75</v>
      </c>
      <c r="E22" s="6">
        <f t="shared" si="0"/>
        <v>16</v>
      </c>
      <c r="F22" s="6">
        <f t="shared" si="1"/>
        <v>28</v>
      </c>
      <c r="G22" s="2">
        <f t="shared" si="2"/>
        <v>19.600000000000001</v>
      </c>
      <c r="H22" s="7">
        <v>21</v>
      </c>
    </row>
    <row r="23" spans="1:8" ht="12.45" customHeight="1" x14ac:dyDescent="0.3">
      <c r="A23" s="2" t="s">
        <v>1668</v>
      </c>
      <c r="B23" s="2">
        <v>56</v>
      </c>
      <c r="C23" s="2">
        <v>4.3</v>
      </c>
      <c r="D23" s="2">
        <v>241.05</v>
      </c>
      <c r="E23" s="6">
        <f t="shared" si="0"/>
        <v>18</v>
      </c>
      <c r="F23" s="6">
        <f t="shared" si="1"/>
        <v>26</v>
      </c>
      <c r="G23" s="2">
        <f t="shared" si="2"/>
        <v>20.399999999999999</v>
      </c>
      <c r="H23" s="7">
        <v>22</v>
      </c>
    </row>
    <row r="24" spans="1:8" ht="12.45" customHeight="1" x14ac:dyDescent="0.3">
      <c r="A24" s="2" t="s">
        <v>1669</v>
      </c>
      <c r="B24" s="2">
        <v>57.5</v>
      </c>
      <c r="C24" s="2">
        <v>4.2699999999999996</v>
      </c>
      <c r="D24" s="2">
        <v>245.25</v>
      </c>
      <c r="E24" s="6">
        <f t="shared" si="0"/>
        <v>21</v>
      </c>
      <c r="F24" s="6">
        <f t="shared" si="1"/>
        <v>20</v>
      </c>
      <c r="G24" s="2">
        <f t="shared" si="2"/>
        <v>20.7</v>
      </c>
      <c r="H24" s="7">
        <v>23</v>
      </c>
    </row>
    <row r="25" spans="1:8" ht="12.45" customHeight="1" x14ac:dyDescent="0.3">
      <c r="A25" s="2" t="s">
        <v>1670</v>
      </c>
      <c r="B25" s="2">
        <v>57.5</v>
      </c>
      <c r="C25" s="2">
        <v>4.26</v>
      </c>
      <c r="D25" s="2">
        <v>244.75</v>
      </c>
      <c r="E25" s="6">
        <f t="shared" si="0"/>
        <v>23</v>
      </c>
      <c r="F25" s="6">
        <f t="shared" si="1"/>
        <v>21</v>
      </c>
      <c r="G25" s="2">
        <f t="shared" si="2"/>
        <v>22.4</v>
      </c>
      <c r="H25" s="7">
        <v>24</v>
      </c>
    </row>
    <row r="26" spans="1:8" ht="12.45" customHeight="1" x14ac:dyDescent="0.3">
      <c r="A26" s="2" t="s">
        <v>1671</v>
      </c>
      <c r="B26" s="2">
        <v>59.5</v>
      </c>
      <c r="C26" s="2">
        <v>4.25</v>
      </c>
      <c r="D26" s="2">
        <v>252.65</v>
      </c>
      <c r="E26" s="6">
        <f t="shared" si="0"/>
        <v>27</v>
      </c>
      <c r="F26" s="6">
        <f t="shared" si="1"/>
        <v>13</v>
      </c>
      <c r="G26" s="2">
        <f t="shared" si="2"/>
        <v>22.799999999999997</v>
      </c>
      <c r="H26" s="7">
        <v>25</v>
      </c>
    </row>
    <row r="27" spans="1:8" ht="12.45" customHeight="1" x14ac:dyDescent="0.3">
      <c r="A27" s="2" t="s">
        <v>1672</v>
      </c>
      <c r="B27" s="2">
        <v>57</v>
      </c>
      <c r="C27" s="2">
        <v>4.26</v>
      </c>
      <c r="D27" s="2">
        <v>242.95</v>
      </c>
      <c r="E27" s="6">
        <f t="shared" si="0"/>
        <v>23</v>
      </c>
      <c r="F27" s="6">
        <f t="shared" si="1"/>
        <v>23</v>
      </c>
      <c r="G27" s="2">
        <f t="shared" si="2"/>
        <v>22.999999999999996</v>
      </c>
      <c r="H27" s="7">
        <v>26</v>
      </c>
    </row>
    <row r="28" spans="1:8" ht="12.45" customHeight="1" x14ac:dyDescent="0.3">
      <c r="A28" s="2" t="s">
        <v>1673</v>
      </c>
      <c r="B28" s="2">
        <v>55.5</v>
      </c>
      <c r="C28" s="2">
        <v>4.26</v>
      </c>
      <c r="D28" s="2">
        <v>236.55</v>
      </c>
      <c r="E28" s="6">
        <f t="shared" si="0"/>
        <v>23</v>
      </c>
      <c r="F28" s="6">
        <f t="shared" si="1"/>
        <v>29</v>
      </c>
      <c r="G28" s="2">
        <f t="shared" si="2"/>
        <v>24.799999999999997</v>
      </c>
      <c r="H28" s="7">
        <v>27</v>
      </c>
    </row>
    <row r="29" spans="1:8" ht="12.45" customHeight="1" x14ac:dyDescent="0.3">
      <c r="A29" s="2" t="s">
        <v>1674</v>
      </c>
      <c r="B29" s="2">
        <v>57</v>
      </c>
      <c r="C29" s="2">
        <v>4.25</v>
      </c>
      <c r="D29" s="2">
        <v>242.05</v>
      </c>
      <c r="E29" s="6">
        <f t="shared" si="0"/>
        <v>27</v>
      </c>
      <c r="F29" s="6">
        <f t="shared" si="1"/>
        <v>25</v>
      </c>
      <c r="G29" s="2">
        <f t="shared" si="2"/>
        <v>26.4</v>
      </c>
      <c r="H29" s="7">
        <v>28</v>
      </c>
    </row>
    <row r="30" spans="1:8" ht="12.45" customHeight="1" x14ac:dyDescent="0.3">
      <c r="A30" s="2" t="s">
        <v>1675</v>
      </c>
      <c r="B30" s="2">
        <v>57.5</v>
      </c>
      <c r="C30" s="2">
        <v>4.22</v>
      </c>
      <c r="D30" s="2">
        <v>242.75</v>
      </c>
      <c r="E30" s="6">
        <f t="shared" si="0"/>
        <v>29</v>
      </c>
      <c r="F30" s="6">
        <f t="shared" si="1"/>
        <v>24</v>
      </c>
      <c r="G30" s="2">
        <f t="shared" si="2"/>
        <v>27.499999999999996</v>
      </c>
      <c r="H30" s="7">
        <v>29</v>
      </c>
    </row>
    <row r="31" spans="1:8" ht="12.45" customHeight="1" x14ac:dyDescent="0.3">
      <c r="A31" s="2" t="s">
        <v>1676</v>
      </c>
      <c r="B31" s="2">
        <v>60</v>
      </c>
      <c r="C31" s="2">
        <v>4.0999999999999996</v>
      </c>
      <c r="D31" s="2">
        <v>245.95</v>
      </c>
      <c r="E31" s="6">
        <f t="shared" si="0"/>
        <v>36</v>
      </c>
      <c r="F31" s="6">
        <f t="shared" si="1"/>
        <v>19</v>
      </c>
      <c r="G31" s="2">
        <f t="shared" si="2"/>
        <v>30.9</v>
      </c>
      <c r="H31" s="7">
        <v>30</v>
      </c>
    </row>
    <row r="32" spans="1:8" ht="12.45" customHeight="1" x14ac:dyDescent="0.3">
      <c r="A32" s="2" t="s">
        <v>1677</v>
      </c>
      <c r="B32" s="2">
        <v>55</v>
      </c>
      <c r="C32" s="2">
        <v>4.2</v>
      </c>
      <c r="D32" s="2">
        <v>230.85</v>
      </c>
      <c r="E32" s="6">
        <f t="shared" si="0"/>
        <v>30</v>
      </c>
      <c r="F32" s="6">
        <f t="shared" si="1"/>
        <v>34</v>
      </c>
      <c r="G32" s="2">
        <f t="shared" si="2"/>
        <v>31.2</v>
      </c>
      <c r="H32" s="7">
        <v>31</v>
      </c>
    </row>
    <row r="33" spans="1:8" ht="12.45" customHeight="1" x14ac:dyDescent="0.3">
      <c r="A33" s="2" t="s">
        <v>1678</v>
      </c>
      <c r="B33" s="2">
        <v>55</v>
      </c>
      <c r="C33" s="2">
        <v>4.18</v>
      </c>
      <c r="D33" s="2">
        <v>229.65</v>
      </c>
      <c r="E33" s="6">
        <f t="shared" si="0"/>
        <v>31</v>
      </c>
      <c r="F33" s="6">
        <f t="shared" si="1"/>
        <v>36</v>
      </c>
      <c r="G33" s="2">
        <f t="shared" si="2"/>
        <v>32.5</v>
      </c>
      <c r="H33" s="7">
        <v>32</v>
      </c>
    </row>
    <row r="34" spans="1:8" ht="12.45" customHeight="1" x14ac:dyDescent="0.3">
      <c r="A34" s="2" t="s">
        <v>1679</v>
      </c>
      <c r="B34" s="2">
        <v>55.5</v>
      </c>
      <c r="C34" s="2">
        <v>4.16</v>
      </c>
      <c r="D34" s="2">
        <v>230.8</v>
      </c>
      <c r="E34" s="6">
        <f t="shared" ref="E34:E65" si="3">_xlfn.RANK.EQ(C34,C:C,0)</f>
        <v>32</v>
      </c>
      <c r="F34" s="6">
        <f t="shared" ref="F34:F65" si="4">_xlfn.RANK.EQ(D34,D:D,0)</f>
        <v>35</v>
      </c>
      <c r="G34" s="2">
        <f t="shared" ref="G34:G65" si="5">E34*0.7+F34*0.3</f>
        <v>32.9</v>
      </c>
      <c r="H34" s="7">
        <v>33</v>
      </c>
    </row>
    <row r="35" spans="1:8" ht="12.45" customHeight="1" x14ac:dyDescent="0.3">
      <c r="A35" s="2" t="s">
        <v>1680</v>
      </c>
      <c r="B35" s="2">
        <v>53.5</v>
      </c>
      <c r="C35" s="2">
        <v>4.1500000000000004</v>
      </c>
      <c r="D35" s="2">
        <v>221.9</v>
      </c>
      <c r="E35" s="6">
        <f t="shared" si="3"/>
        <v>33</v>
      </c>
      <c r="F35" s="6">
        <f t="shared" si="4"/>
        <v>40</v>
      </c>
      <c r="G35" s="2">
        <f t="shared" si="5"/>
        <v>35.099999999999994</v>
      </c>
      <c r="H35" s="7">
        <v>34</v>
      </c>
    </row>
    <row r="36" spans="1:8" ht="12.45" customHeight="1" x14ac:dyDescent="0.3">
      <c r="A36" s="2" t="s">
        <v>1681</v>
      </c>
      <c r="B36" s="2">
        <v>55.5</v>
      </c>
      <c r="C36" s="2">
        <v>4.13</v>
      </c>
      <c r="D36" s="2">
        <v>229.05</v>
      </c>
      <c r="E36" s="6">
        <f t="shared" si="3"/>
        <v>35</v>
      </c>
      <c r="F36" s="6">
        <f t="shared" si="4"/>
        <v>37</v>
      </c>
      <c r="G36" s="2">
        <f t="shared" si="5"/>
        <v>35.6</v>
      </c>
      <c r="H36" s="7">
        <v>35</v>
      </c>
    </row>
    <row r="37" spans="1:8" ht="12.45" customHeight="1" x14ac:dyDescent="0.3">
      <c r="A37" s="2" t="s">
        <v>1682</v>
      </c>
      <c r="B37" s="2">
        <v>52.5</v>
      </c>
      <c r="C37" s="2">
        <v>4.1500000000000004</v>
      </c>
      <c r="D37" s="2">
        <v>218.1</v>
      </c>
      <c r="E37" s="6">
        <f t="shared" si="3"/>
        <v>33</v>
      </c>
      <c r="F37" s="6">
        <f t="shared" si="4"/>
        <v>44</v>
      </c>
      <c r="G37" s="2">
        <f t="shared" si="5"/>
        <v>36.299999999999997</v>
      </c>
      <c r="H37" s="7">
        <v>36</v>
      </c>
    </row>
    <row r="38" spans="1:8" ht="12.45" customHeight="1" x14ac:dyDescent="0.3">
      <c r="A38" s="2" t="s">
        <v>1683</v>
      </c>
      <c r="B38" s="2">
        <v>58.5</v>
      </c>
      <c r="C38" s="2">
        <v>4.0199999999999996</v>
      </c>
      <c r="D38" s="2">
        <v>235.1</v>
      </c>
      <c r="E38" s="6">
        <f t="shared" si="3"/>
        <v>40</v>
      </c>
      <c r="F38" s="6">
        <f t="shared" si="4"/>
        <v>31</v>
      </c>
      <c r="G38" s="2">
        <f t="shared" si="5"/>
        <v>37.299999999999997</v>
      </c>
      <c r="H38" s="7">
        <v>37</v>
      </c>
    </row>
    <row r="39" spans="1:8" ht="12.45" customHeight="1" x14ac:dyDescent="0.3">
      <c r="A39" s="2" t="s">
        <v>1684</v>
      </c>
      <c r="B39" s="2">
        <v>55</v>
      </c>
      <c r="C39" s="2">
        <v>4.08</v>
      </c>
      <c r="D39" s="2">
        <v>224.5</v>
      </c>
      <c r="E39" s="6">
        <f t="shared" si="3"/>
        <v>37</v>
      </c>
      <c r="F39" s="6">
        <f t="shared" si="4"/>
        <v>39</v>
      </c>
      <c r="G39" s="2">
        <f t="shared" si="5"/>
        <v>37.599999999999994</v>
      </c>
      <c r="H39" s="7">
        <v>38</v>
      </c>
    </row>
    <row r="40" spans="1:8" ht="12.45" customHeight="1" x14ac:dyDescent="0.3">
      <c r="A40" s="2" t="s">
        <v>1685</v>
      </c>
      <c r="B40" s="2">
        <v>56</v>
      </c>
      <c r="C40" s="2">
        <v>4.0599999999999996</v>
      </c>
      <c r="D40" s="2">
        <v>227.25</v>
      </c>
      <c r="E40" s="6">
        <f t="shared" si="3"/>
        <v>38</v>
      </c>
      <c r="F40" s="6">
        <f t="shared" si="4"/>
        <v>38</v>
      </c>
      <c r="G40" s="2">
        <f t="shared" si="5"/>
        <v>38</v>
      </c>
      <c r="H40" s="7">
        <v>39</v>
      </c>
    </row>
    <row r="41" spans="1:8" ht="12.45" customHeight="1" x14ac:dyDescent="0.3">
      <c r="A41" s="2" t="s">
        <v>1686</v>
      </c>
      <c r="B41" s="2">
        <v>59</v>
      </c>
      <c r="C41" s="2">
        <v>3.96</v>
      </c>
      <c r="D41" s="2">
        <v>233.55</v>
      </c>
      <c r="E41" s="6">
        <f t="shared" si="3"/>
        <v>44</v>
      </c>
      <c r="F41" s="6">
        <f t="shared" si="4"/>
        <v>33</v>
      </c>
      <c r="G41" s="2">
        <f t="shared" si="5"/>
        <v>40.699999999999996</v>
      </c>
      <c r="H41" s="7">
        <v>40</v>
      </c>
    </row>
    <row r="42" spans="1:8" ht="12.45" customHeight="1" x14ac:dyDescent="0.3">
      <c r="A42" s="2" t="s">
        <v>1687</v>
      </c>
      <c r="B42" s="2">
        <v>52</v>
      </c>
      <c r="C42" s="2">
        <v>4.0599999999999996</v>
      </c>
      <c r="D42" s="2">
        <v>211.05</v>
      </c>
      <c r="E42" s="6">
        <f t="shared" si="3"/>
        <v>38</v>
      </c>
      <c r="F42" s="6">
        <f t="shared" si="4"/>
        <v>48</v>
      </c>
      <c r="G42" s="2">
        <f t="shared" si="5"/>
        <v>41</v>
      </c>
      <c r="H42" s="7">
        <v>41</v>
      </c>
    </row>
    <row r="43" spans="1:8" ht="12.45" customHeight="1" x14ac:dyDescent="0.3">
      <c r="A43" s="2" t="s">
        <v>1688</v>
      </c>
      <c r="B43" s="2">
        <v>59.5</v>
      </c>
      <c r="C43" s="2">
        <v>3.94</v>
      </c>
      <c r="D43" s="2">
        <v>234.45</v>
      </c>
      <c r="E43" s="6">
        <f t="shared" si="3"/>
        <v>46</v>
      </c>
      <c r="F43" s="6">
        <f t="shared" si="4"/>
        <v>32</v>
      </c>
      <c r="G43" s="2">
        <f t="shared" si="5"/>
        <v>41.8</v>
      </c>
      <c r="H43" s="7">
        <v>42</v>
      </c>
    </row>
    <row r="44" spans="1:8" ht="12.45" customHeight="1" x14ac:dyDescent="0.3">
      <c r="A44" s="2" t="s">
        <v>1689</v>
      </c>
      <c r="B44" s="2">
        <v>53</v>
      </c>
      <c r="C44" s="2">
        <v>4.0199999999999996</v>
      </c>
      <c r="D44" s="2">
        <v>212.8</v>
      </c>
      <c r="E44" s="6">
        <f t="shared" si="3"/>
        <v>40</v>
      </c>
      <c r="F44" s="6">
        <f t="shared" si="4"/>
        <v>46</v>
      </c>
      <c r="G44" s="2">
        <f t="shared" si="5"/>
        <v>41.8</v>
      </c>
      <c r="H44" s="7">
        <v>42</v>
      </c>
    </row>
    <row r="45" spans="1:8" ht="12.45" customHeight="1" x14ac:dyDescent="0.3">
      <c r="A45" s="2" t="s">
        <v>1690</v>
      </c>
      <c r="B45" s="2">
        <v>56</v>
      </c>
      <c r="C45" s="2">
        <v>4</v>
      </c>
      <c r="D45" s="2">
        <v>220.2</v>
      </c>
      <c r="E45" s="6">
        <f t="shared" si="3"/>
        <v>42</v>
      </c>
      <c r="F45" s="6">
        <f t="shared" si="4"/>
        <v>42</v>
      </c>
      <c r="G45" s="2">
        <f t="shared" si="5"/>
        <v>42</v>
      </c>
      <c r="H45" s="7">
        <v>44</v>
      </c>
    </row>
    <row r="46" spans="1:8" ht="12.45" customHeight="1" x14ac:dyDescent="0.3">
      <c r="A46" s="2" t="s">
        <v>1691</v>
      </c>
      <c r="B46" s="2">
        <v>53.5</v>
      </c>
      <c r="C46" s="2">
        <v>3.98</v>
      </c>
      <c r="D46" s="2">
        <v>212.85</v>
      </c>
      <c r="E46" s="6">
        <f t="shared" si="3"/>
        <v>43</v>
      </c>
      <c r="F46" s="6">
        <f t="shared" si="4"/>
        <v>45</v>
      </c>
      <c r="G46" s="2">
        <f t="shared" si="5"/>
        <v>43.599999999999994</v>
      </c>
      <c r="H46" s="7">
        <v>45</v>
      </c>
    </row>
    <row r="47" spans="1:8" ht="12.45" customHeight="1" x14ac:dyDescent="0.3">
      <c r="A47" s="2" t="s">
        <v>1692</v>
      </c>
      <c r="B47" s="2">
        <v>57</v>
      </c>
      <c r="C47" s="2">
        <v>3.89</v>
      </c>
      <c r="D47" s="2">
        <v>221.85</v>
      </c>
      <c r="E47" s="6">
        <f t="shared" si="3"/>
        <v>48</v>
      </c>
      <c r="F47" s="6">
        <f t="shared" si="4"/>
        <v>41</v>
      </c>
      <c r="G47" s="2">
        <f t="shared" si="5"/>
        <v>45.899999999999991</v>
      </c>
      <c r="H47" s="7">
        <v>46</v>
      </c>
    </row>
    <row r="48" spans="1:8" ht="12.45" customHeight="1" x14ac:dyDescent="0.3">
      <c r="A48" s="2" t="s">
        <v>1693</v>
      </c>
      <c r="B48" s="2">
        <v>53</v>
      </c>
      <c r="C48" s="2">
        <v>3.95</v>
      </c>
      <c r="D48" s="2">
        <v>209.15</v>
      </c>
      <c r="E48" s="6">
        <f t="shared" si="3"/>
        <v>45</v>
      </c>
      <c r="F48" s="6">
        <f t="shared" si="4"/>
        <v>51</v>
      </c>
      <c r="G48" s="2">
        <f t="shared" si="5"/>
        <v>46.8</v>
      </c>
      <c r="H48" s="7">
        <v>47</v>
      </c>
    </row>
    <row r="49" spans="1:8" ht="12.45" customHeight="1" x14ac:dyDescent="0.3">
      <c r="A49" s="2" t="s">
        <v>1694</v>
      </c>
      <c r="B49" s="2">
        <v>57</v>
      </c>
      <c r="C49" s="2">
        <v>3.85</v>
      </c>
      <c r="D49" s="2">
        <v>219.35</v>
      </c>
      <c r="E49" s="6">
        <f t="shared" si="3"/>
        <v>51</v>
      </c>
      <c r="F49" s="6">
        <f t="shared" si="4"/>
        <v>43</v>
      </c>
      <c r="G49" s="2">
        <f t="shared" si="5"/>
        <v>48.599999999999994</v>
      </c>
      <c r="H49" s="7">
        <v>48</v>
      </c>
    </row>
    <row r="50" spans="1:8" ht="12.45" customHeight="1" x14ac:dyDescent="0.3">
      <c r="A50" s="2" t="s">
        <v>1695</v>
      </c>
      <c r="B50" s="2">
        <v>51</v>
      </c>
      <c r="C50" s="2">
        <v>3.9</v>
      </c>
      <c r="D50" s="2">
        <v>198.85</v>
      </c>
      <c r="E50" s="6">
        <f t="shared" si="3"/>
        <v>47</v>
      </c>
      <c r="F50" s="6">
        <f t="shared" si="4"/>
        <v>55</v>
      </c>
      <c r="G50" s="2">
        <f t="shared" si="5"/>
        <v>49.4</v>
      </c>
      <c r="H50" s="7">
        <v>49</v>
      </c>
    </row>
    <row r="51" spans="1:8" ht="12.45" customHeight="1" x14ac:dyDescent="0.3">
      <c r="A51" s="2" t="s">
        <v>1696</v>
      </c>
      <c r="B51" s="2">
        <v>52.5</v>
      </c>
      <c r="C51" s="2">
        <v>3.86</v>
      </c>
      <c r="D51" s="2">
        <v>202.9</v>
      </c>
      <c r="E51" s="6">
        <f t="shared" si="3"/>
        <v>49</v>
      </c>
      <c r="F51" s="6">
        <f t="shared" si="4"/>
        <v>54</v>
      </c>
      <c r="G51" s="2">
        <f t="shared" si="5"/>
        <v>50.5</v>
      </c>
      <c r="H51" s="7">
        <v>50</v>
      </c>
    </row>
    <row r="52" spans="1:8" ht="12.45" customHeight="1" x14ac:dyDescent="0.3">
      <c r="A52" s="2" t="s">
        <v>1697</v>
      </c>
      <c r="B52" s="2">
        <v>51</v>
      </c>
      <c r="C52" s="2">
        <v>3.86</v>
      </c>
      <c r="D52" s="2">
        <v>196.8</v>
      </c>
      <c r="E52" s="6">
        <f t="shared" si="3"/>
        <v>49</v>
      </c>
      <c r="F52" s="6">
        <f t="shared" si="4"/>
        <v>56</v>
      </c>
      <c r="G52" s="2">
        <f t="shared" si="5"/>
        <v>51.099999999999994</v>
      </c>
      <c r="H52" s="7">
        <v>51</v>
      </c>
    </row>
    <row r="53" spans="1:8" ht="12.45" customHeight="1" x14ac:dyDescent="0.3">
      <c r="A53" s="2" t="s">
        <v>1698</v>
      </c>
      <c r="B53" s="2">
        <v>54.5</v>
      </c>
      <c r="C53" s="2">
        <v>3.84</v>
      </c>
      <c r="D53" s="2">
        <v>209.4</v>
      </c>
      <c r="E53" s="6">
        <f t="shared" si="3"/>
        <v>52</v>
      </c>
      <c r="F53" s="6">
        <f t="shared" si="4"/>
        <v>50</v>
      </c>
      <c r="G53" s="2">
        <f t="shared" si="5"/>
        <v>51.4</v>
      </c>
      <c r="H53" s="7">
        <v>52</v>
      </c>
    </row>
    <row r="54" spans="1:8" ht="12.45" customHeight="1" x14ac:dyDescent="0.3">
      <c r="A54" s="2" t="s">
        <v>1699</v>
      </c>
      <c r="B54" s="2">
        <v>51</v>
      </c>
      <c r="C54" s="2">
        <v>3.79</v>
      </c>
      <c r="D54" s="2">
        <v>204.7</v>
      </c>
      <c r="E54" s="6">
        <f t="shared" si="3"/>
        <v>53</v>
      </c>
      <c r="F54" s="6">
        <f t="shared" si="4"/>
        <v>52</v>
      </c>
      <c r="G54" s="2">
        <f t="shared" si="5"/>
        <v>52.699999999999996</v>
      </c>
      <c r="H54" s="7">
        <v>53</v>
      </c>
    </row>
    <row r="55" spans="1:8" ht="12.45" customHeight="1" x14ac:dyDescent="0.3">
      <c r="A55" s="2" t="s">
        <v>1700</v>
      </c>
      <c r="B55" s="2">
        <v>54</v>
      </c>
      <c r="C55" s="2">
        <v>3.76</v>
      </c>
      <c r="D55" s="2">
        <v>203.25</v>
      </c>
      <c r="E55" s="6">
        <f t="shared" si="3"/>
        <v>54</v>
      </c>
      <c r="F55" s="6">
        <f t="shared" si="4"/>
        <v>53</v>
      </c>
      <c r="G55" s="2">
        <f t="shared" si="5"/>
        <v>53.699999999999996</v>
      </c>
      <c r="H55" s="7">
        <v>54</v>
      </c>
    </row>
    <row r="56" spans="1:8" ht="12.45" customHeight="1" x14ac:dyDescent="0.3">
      <c r="A56" s="2" t="s">
        <v>1701</v>
      </c>
      <c r="B56" s="2">
        <v>58.5</v>
      </c>
      <c r="C56" s="2">
        <v>3.62</v>
      </c>
      <c r="D56" s="2">
        <v>211.5</v>
      </c>
      <c r="E56" s="6">
        <f t="shared" si="3"/>
        <v>57</v>
      </c>
      <c r="F56" s="6">
        <f t="shared" si="4"/>
        <v>47</v>
      </c>
      <c r="G56" s="2">
        <f t="shared" si="5"/>
        <v>54</v>
      </c>
      <c r="H56" s="7">
        <v>55</v>
      </c>
    </row>
    <row r="57" spans="1:8" ht="12.45" customHeight="1" x14ac:dyDescent="0.3">
      <c r="A57" s="2" t="s">
        <v>1702</v>
      </c>
      <c r="B57" s="2">
        <v>59.5</v>
      </c>
      <c r="C57" s="2">
        <v>3.61</v>
      </c>
      <c r="D57" s="2">
        <v>210.9</v>
      </c>
      <c r="E57" s="6">
        <f t="shared" si="3"/>
        <v>58</v>
      </c>
      <c r="F57" s="6">
        <f t="shared" si="4"/>
        <v>49</v>
      </c>
      <c r="G57" s="2">
        <f t="shared" si="5"/>
        <v>55.3</v>
      </c>
      <c r="H57" s="7">
        <v>56</v>
      </c>
    </row>
    <row r="58" spans="1:8" ht="12.45" customHeight="1" x14ac:dyDescent="0.3">
      <c r="A58" s="2" t="s">
        <v>1703</v>
      </c>
      <c r="B58" s="2">
        <v>50.5</v>
      </c>
      <c r="C58" s="2">
        <v>3.66</v>
      </c>
      <c r="D58" s="2">
        <v>184.8</v>
      </c>
      <c r="E58" s="6">
        <f t="shared" si="3"/>
        <v>55</v>
      </c>
      <c r="F58" s="6">
        <f t="shared" si="4"/>
        <v>57</v>
      </c>
      <c r="G58" s="2">
        <f t="shared" si="5"/>
        <v>55.599999999999994</v>
      </c>
      <c r="H58" s="7">
        <v>57</v>
      </c>
    </row>
    <row r="59" spans="1:8" ht="12.45" customHeight="1" x14ac:dyDescent="0.3">
      <c r="A59" s="2" t="s">
        <v>1704</v>
      </c>
      <c r="B59" s="2">
        <v>48</v>
      </c>
      <c r="C59" s="2">
        <v>3.66</v>
      </c>
      <c r="D59" s="2">
        <v>181.35</v>
      </c>
      <c r="E59" s="6">
        <f t="shared" si="3"/>
        <v>55</v>
      </c>
      <c r="F59" s="6">
        <f t="shared" si="4"/>
        <v>59</v>
      </c>
      <c r="G59" s="2">
        <f t="shared" si="5"/>
        <v>56.2</v>
      </c>
      <c r="H59" s="7">
        <v>58</v>
      </c>
    </row>
    <row r="60" spans="1:8" ht="12.45" customHeight="1" x14ac:dyDescent="0.3">
      <c r="A60" s="2" t="s">
        <v>1705</v>
      </c>
      <c r="B60" s="2">
        <v>47</v>
      </c>
      <c r="C60" s="2">
        <v>3.55</v>
      </c>
      <c r="D60" s="2">
        <v>180.9</v>
      </c>
      <c r="E60" s="6">
        <f t="shared" si="3"/>
        <v>59</v>
      </c>
      <c r="F60" s="6">
        <f t="shared" si="4"/>
        <v>60</v>
      </c>
      <c r="G60" s="2">
        <f t="shared" si="5"/>
        <v>59.3</v>
      </c>
      <c r="H60" s="7">
        <v>59</v>
      </c>
    </row>
    <row r="61" spans="1:8" ht="12.45" customHeight="1" x14ac:dyDescent="0.3">
      <c r="A61" s="2" t="s">
        <v>1706</v>
      </c>
      <c r="B61" s="2">
        <v>51.5</v>
      </c>
      <c r="C61" s="2">
        <v>3.54</v>
      </c>
      <c r="D61" s="2">
        <v>182.55</v>
      </c>
      <c r="E61" s="6">
        <f t="shared" si="3"/>
        <v>60</v>
      </c>
      <c r="F61" s="6">
        <f t="shared" si="4"/>
        <v>58</v>
      </c>
      <c r="G61" s="2">
        <f t="shared" si="5"/>
        <v>59.4</v>
      </c>
      <c r="H61" s="7">
        <v>60</v>
      </c>
    </row>
    <row r="62" spans="1:8" ht="12.45" customHeight="1" x14ac:dyDescent="0.3">
      <c r="A62" s="2" t="s">
        <v>1707</v>
      </c>
      <c r="B62" s="2">
        <v>49.5</v>
      </c>
      <c r="C62" s="2">
        <v>3.42</v>
      </c>
      <c r="D62" s="2">
        <v>169.05</v>
      </c>
      <c r="E62" s="6">
        <f t="shared" si="3"/>
        <v>61</v>
      </c>
      <c r="F62" s="6">
        <f t="shared" si="4"/>
        <v>65</v>
      </c>
      <c r="G62" s="2">
        <f t="shared" si="5"/>
        <v>62.199999999999996</v>
      </c>
      <c r="H62" s="7">
        <v>61</v>
      </c>
    </row>
    <row r="63" spans="1:8" ht="12.45" customHeight="1" x14ac:dyDescent="0.3">
      <c r="A63" s="2" t="s">
        <v>1708</v>
      </c>
      <c r="B63" s="2">
        <v>51</v>
      </c>
      <c r="C63" s="2">
        <v>3.37</v>
      </c>
      <c r="D63" s="2">
        <v>171.75</v>
      </c>
      <c r="E63" s="6">
        <f t="shared" si="3"/>
        <v>62</v>
      </c>
      <c r="F63" s="6">
        <f t="shared" si="4"/>
        <v>64</v>
      </c>
      <c r="G63" s="2">
        <f t="shared" si="5"/>
        <v>62.599999999999994</v>
      </c>
      <c r="H63" s="7">
        <v>62</v>
      </c>
    </row>
    <row r="64" spans="1:8" ht="12.45" customHeight="1" x14ac:dyDescent="0.3">
      <c r="A64" s="2" t="s">
        <v>1709</v>
      </c>
      <c r="B64" s="2">
        <v>52.5</v>
      </c>
      <c r="C64" s="2">
        <v>3.35</v>
      </c>
      <c r="D64" s="2">
        <v>176.05</v>
      </c>
      <c r="E64" s="6">
        <f t="shared" si="3"/>
        <v>63</v>
      </c>
      <c r="F64" s="6">
        <f t="shared" si="4"/>
        <v>62</v>
      </c>
      <c r="G64" s="2">
        <f t="shared" si="5"/>
        <v>62.699999999999989</v>
      </c>
      <c r="H64" s="7">
        <v>63</v>
      </c>
    </row>
    <row r="65" spans="1:8" ht="12.45" customHeight="1" x14ac:dyDescent="0.3">
      <c r="A65" s="2" t="s">
        <v>1710</v>
      </c>
      <c r="B65" s="2">
        <v>54</v>
      </c>
      <c r="C65" s="2">
        <v>3.28</v>
      </c>
      <c r="D65" s="2">
        <v>177.3</v>
      </c>
      <c r="E65" s="6">
        <f t="shared" si="3"/>
        <v>64</v>
      </c>
      <c r="F65" s="6">
        <f t="shared" si="4"/>
        <v>61</v>
      </c>
      <c r="G65" s="2">
        <f t="shared" si="5"/>
        <v>63.099999999999994</v>
      </c>
      <c r="H65" s="7">
        <v>64</v>
      </c>
    </row>
    <row r="66" spans="1:8" ht="12.45" customHeight="1" x14ac:dyDescent="0.3">
      <c r="A66" s="2" t="s">
        <v>1711</v>
      </c>
      <c r="B66" s="2">
        <v>47.5</v>
      </c>
      <c r="C66" s="2">
        <v>3.22</v>
      </c>
      <c r="D66" s="2">
        <v>175.5</v>
      </c>
      <c r="E66" s="6">
        <f t="shared" ref="E66:E71" si="6">_xlfn.RANK.EQ(C66,C:C,0)</f>
        <v>65</v>
      </c>
      <c r="F66" s="6">
        <f t="shared" ref="F66:F71" si="7">_xlfn.RANK.EQ(D66,D:D,0)</f>
        <v>63</v>
      </c>
      <c r="G66" s="2">
        <f t="shared" ref="G66:G71" si="8">E66*0.7+F66*0.3</f>
        <v>64.400000000000006</v>
      </c>
      <c r="H66" s="7">
        <v>65</v>
      </c>
    </row>
    <row r="67" spans="1:8" ht="12.45" customHeight="1" x14ac:dyDescent="0.3">
      <c r="A67" s="2" t="s">
        <v>1712</v>
      </c>
      <c r="B67" s="2">
        <v>46</v>
      </c>
      <c r="C67" s="2">
        <v>3</v>
      </c>
      <c r="D67" s="2">
        <v>144.15</v>
      </c>
      <c r="E67" s="6">
        <f t="shared" si="6"/>
        <v>66</v>
      </c>
      <c r="F67" s="6">
        <f t="shared" si="7"/>
        <v>68</v>
      </c>
      <c r="G67" s="2">
        <f t="shared" si="8"/>
        <v>66.599999999999994</v>
      </c>
      <c r="H67" s="7">
        <v>66</v>
      </c>
    </row>
    <row r="68" spans="1:8" ht="12.45" customHeight="1" x14ac:dyDescent="0.3">
      <c r="A68" s="2" t="s">
        <v>1713</v>
      </c>
      <c r="B68" s="2">
        <v>57</v>
      </c>
      <c r="C68" s="2">
        <v>2.76</v>
      </c>
      <c r="D68" s="2">
        <v>168.5</v>
      </c>
      <c r="E68" s="6">
        <f t="shared" si="6"/>
        <v>67</v>
      </c>
      <c r="F68" s="6">
        <f t="shared" si="7"/>
        <v>66</v>
      </c>
      <c r="G68" s="2">
        <f t="shared" si="8"/>
        <v>66.7</v>
      </c>
      <c r="H68" s="7">
        <v>67</v>
      </c>
    </row>
    <row r="69" spans="1:8" ht="12.45" customHeight="1" x14ac:dyDescent="0.3">
      <c r="A69" s="2" t="s">
        <v>1714</v>
      </c>
      <c r="B69" s="2">
        <v>33.5</v>
      </c>
      <c r="C69" s="2">
        <v>2.76</v>
      </c>
      <c r="D69" s="2">
        <v>111.6</v>
      </c>
      <c r="E69" s="6">
        <f t="shared" si="6"/>
        <v>67</v>
      </c>
      <c r="F69" s="6">
        <f t="shared" si="7"/>
        <v>70</v>
      </c>
      <c r="G69" s="2">
        <f t="shared" si="8"/>
        <v>67.900000000000006</v>
      </c>
      <c r="H69" s="7">
        <v>68</v>
      </c>
    </row>
    <row r="70" spans="1:8" ht="12.45" customHeight="1" x14ac:dyDescent="0.3">
      <c r="A70" s="2" t="s">
        <v>1715</v>
      </c>
      <c r="B70" s="2">
        <v>49.5</v>
      </c>
      <c r="C70" s="2">
        <v>2.69</v>
      </c>
      <c r="D70" s="2">
        <v>146.55000000000001</v>
      </c>
      <c r="E70" s="6">
        <f t="shared" si="6"/>
        <v>69</v>
      </c>
      <c r="F70" s="6">
        <f t="shared" si="7"/>
        <v>67</v>
      </c>
      <c r="G70" s="2">
        <f t="shared" si="8"/>
        <v>68.399999999999991</v>
      </c>
      <c r="H70" s="7">
        <v>69</v>
      </c>
    </row>
    <row r="71" spans="1:8" ht="12.45" customHeight="1" x14ac:dyDescent="0.3">
      <c r="A71" s="2" t="s">
        <v>1716</v>
      </c>
      <c r="B71" s="2">
        <v>36.5</v>
      </c>
      <c r="C71" s="2">
        <v>2.12</v>
      </c>
      <c r="D71" s="2">
        <v>115.8</v>
      </c>
      <c r="E71" s="6">
        <f t="shared" si="6"/>
        <v>70</v>
      </c>
      <c r="F71" s="6">
        <f t="shared" si="7"/>
        <v>69</v>
      </c>
      <c r="G71" s="2">
        <f t="shared" si="8"/>
        <v>69.7</v>
      </c>
      <c r="H71" s="7">
        <v>70</v>
      </c>
    </row>
  </sheetData>
  <autoFilter ref="A1:H71" xr:uid="{48F1B8F1-E13B-42D8-9F79-FC88B5F82903}">
    <sortState xmlns:xlrd2="http://schemas.microsoft.com/office/spreadsheetml/2017/richdata2" ref="A2:H71">
      <sortCondition ref="H1:H71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631D-8E30-4A38-A3D0-BCA549057434}">
  <sheetPr>
    <outlinePr summaryBelow="0" summaryRight="0"/>
  </sheetPr>
  <dimension ref="A1:H119"/>
  <sheetViews>
    <sheetView topLeftCell="A67" zoomScaleNormal="100" workbookViewId="0">
      <selection activeCell="J87" sqref="J87"/>
    </sheetView>
  </sheetViews>
  <sheetFormatPr defaultColWidth="8.6328125" defaultRowHeight="12.45" customHeight="1" x14ac:dyDescent="0.3"/>
  <cols>
    <col min="1" max="1" width="11.90625" style="8" customWidth="1"/>
    <col min="2" max="2" width="8.26953125" style="8" customWidth="1"/>
    <col min="3" max="3" width="11" style="8" customWidth="1"/>
    <col min="4" max="4" width="7" style="8" customWidth="1"/>
    <col min="5" max="5" width="9.90625" style="8" customWidth="1"/>
    <col min="6" max="6" width="9.08984375" style="8" customWidth="1"/>
    <col min="7" max="7" width="11.36328125" style="8" customWidth="1"/>
    <col min="8" max="8" width="8.08984375" style="8" customWidth="1"/>
    <col min="9" max="16384" width="8.6328125" style="5"/>
  </cols>
  <sheetData>
    <row r="1" spans="1:8" s="4" customFormat="1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1717</v>
      </c>
      <c r="F1" s="3" t="s">
        <v>1718</v>
      </c>
      <c r="G1" s="3" t="s">
        <v>4</v>
      </c>
      <c r="H1" s="3" t="s">
        <v>5</v>
      </c>
    </row>
    <row r="2" spans="1:8" ht="14.25" customHeight="1" x14ac:dyDescent="0.3">
      <c r="A2" s="2" t="s">
        <v>1006</v>
      </c>
      <c r="B2" s="2">
        <v>57.5</v>
      </c>
      <c r="C2" s="2">
        <v>4.78</v>
      </c>
      <c r="D2" s="2">
        <v>275.10000000000002</v>
      </c>
      <c r="E2" s="6">
        <f t="shared" ref="E2:E33" si="0">_xlfn.RANK.EQ(C2,C:C,0)</f>
        <v>1</v>
      </c>
      <c r="F2" s="6">
        <f t="shared" ref="F2:F33" si="1">_xlfn.RANK.EQ(D2,D:D,0)</f>
        <v>2</v>
      </c>
      <c r="G2" s="2">
        <f t="shared" ref="G2:G33" si="2">E2*0.7+F2*0.3</f>
        <v>1.2999999999999998</v>
      </c>
      <c r="H2" s="7">
        <v>1</v>
      </c>
    </row>
    <row r="3" spans="1:8" ht="14.25" customHeight="1" x14ac:dyDescent="0.3">
      <c r="A3" s="2" t="s">
        <v>1007</v>
      </c>
      <c r="B3" s="2">
        <v>59</v>
      </c>
      <c r="C3" s="2">
        <v>4.7</v>
      </c>
      <c r="D3" s="2">
        <v>277.39999999999998</v>
      </c>
      <c r="E3" s="6">
        <f t="shared" si="0"/>
        <v>3</v>
      </c>
      <c r="F3" s="6">
        <f t="shared" si="1"/>
        <v>1</v>
      </c>
      <c r="G3" s="2">
        <f t="shared" si="2"/>
        <v>2.3999999999999995</v>
      </c>
      <c r="H3" s="7">
        <v>2</v>
      </c>
    </row>
    <row r="4" spans="1:8" ht="14.25" customHeight="1" x14ac:dyDescent="0.3">
      <c r="A4" s="2" t="s">
        <v>1008</v>
      </c>
      <c r="B4" s="2">
        <v>55</v>
      </c>
      <c r="C4" s="2">
        <v>4.74</v>
      </c>
      <c r="D4" s="2">
        <v>260.95</v>
      </c>
      <c r="E4" s="6">
        <f t="shared" si="0"/>
        <v>2</v>
      </c>
      <c r="F4" s="6">
        <f t="shared" si="1"/>
        <v>6</v>
      </c>
      <c r="G4" s="2">
        <f t="shared" si="2"/>
        <v>3.1999999999999997</v>
      </c>
      <c r="H4" s="7">
        <v>3</v>
      </c>
    </row>
    <row r="5" spans="1:8" ht="14.25" customHeight="1" x14ac:dyDescent="0.3">
      <c r="A5" s="2" t="s">
        <v>1009</v>
      </c>
      <c r="B5" s="2">
        <v>55.5</v>
      </c>
      <c r="C5" s="2">
        <v>4.62</v>
      </c>
      <c r="D5" s="2">
        <v>256.64999999999998</v>
      </c>
      <c r="E5" s="6">
        <f t="shared" si="0"/>
        <v>6</v>
      </c>
      <c r="F5" s="6">
        <f t="shared" si="1"/>
        <v>8</v>
      </c>
      <c r="G5" s="2">
        <f t="shared" si="2"/>
        <v>6.6</v>
      </c>
      <c r="H5" s="7">
        <v>4</v>
      </c>
    </row>
    <row r="6" spans="1:8" ht="14.25" customHeight="1" x14ac:dyDescent="0.3">
      <c r="A6" s="2" t="s">
        <v>1010</v>
      </c>
      <c r="B6" s="2">
        <v>53.5</v>
      </c>
      <c r="C6" s="2">
        <v>4.68</v>
      </c>
      <c r="D6" s="2">
        <v>250.15</v>
      </c>
      <c r="E6" s="6">
        <f t="shared" si="0"/>
        <v>4</v>
      </c>
      <c r="F6" s="6">
        <f t="shared" si="1"/>
        <v>16</v>
      </c>
      <c r="G6" s="2">
        <f t="shared" si="2"/>
        <v>7.6</v>
      </c>
      <c r="H6" s="7">
        <v>5</v>
      </c>
    </row>
    <row r="7" spans="1:8" ht="14.25" customHeight="1" x14ac:dyDescent="0.3">
      <c r="A7" s="2" t="s">
        <v>1011</v>
      </c>
      <c r="B7" s="2">
        <v>59.5</v>
      </c>
      <c r="C7" s="2">
        <v>4.54</v>
      </c>
      <c r="D7" s="2">
        <v>269.85000000000002</v>
      </c>
      <c r="E7" s="6">
        <f t="shared" si="0"/>
        <v>10</v>
      </c>
      <c r="F7" s="6">
        <f t="shared" si="1"/>
        <v>3</v>
      </c>
      <c r="G7" s="2">
        <f t="shared" si="2"/>
        <v>7.9</v>
      </c>
      <c r="H7" s="7">
        <v>6</v>
      </c>
    </row>
    <row r="8" spans="1:8" ht="14.25" customHeight="1" x14ac:dyDescent="0.3">
      <c r="A8" s="2" t="s">
        <v>1012</v>
      </c>
      <c r="B8" s="2">
        <v>53</v>
      </c>
      <c r="C8" s="2">
        <v>4.67</v>
      </c>
      <c r="D8" s="2">
        <v>247.75</v>
      </c>
      <c r="E8" s="6">
        <f t="shared" si="0"/>
        <v>5</v>
      </c>
      <c r="F8" s="6">
        <f t="shared" si="1"/>
        <v>17</v>
      </c>
      <c r="G8" s="2">
        <f t="shared" si="2"/>
        <v>8.6</v>
      </c>
      <c r="H8" s="7">
        <v>7</v>
      </c>
    </row>
    <row r="9" spans="1:8" ht="14.25" customHeight="1" x14ac:dyDescent="0.3">
      <c r="A9" s="2" t="s">
        <v>1013</v>
      </c>
      <c r="B9" s="2">
        <v>53.5</v>
      </c>
      <c r="C9" s="2">
        <v>4.59</v>
      </c>
      <c r="D9" s="2">
        <v>245.65</v>
      </c>
      <c r="E9" s="6">
        <f t="shared" si="0"/>
        <v>7</v>
      </c>
      <c r="F9" s="6">
        <f t="shared" si="1"/>
        <v>18</v>
      </c>
      <c r="G9" s="2">
        <f t="shared" si="2"/>
        <v>10.299999999999999</v>
      </c>
      <c r="H9" s="7">
        <v>8</v>
      </c>
    </row>
    <row r="10" spans="1:8" ht="14.25" customHeight="1" x14ac:dyDescent="0.3">
      <c r="A10" s="2" t="s">
        <v>1014</v>
      </c>
      <c r="B10" s="2">
        <v>56.5</v>
      </c>
      <c r="C10" s="2">
        <v>4.53</v>
      </c>
      <c r="D10" s="2">
        <v>255.7</v>
      </c>
      <c r="E10" s="6">
        <f t="shared" si="0"/>
        <v>11</v>
      </c>
      <c r="F10" s="6">
        <f t="shared" si="1"/>
        <v>9</v>
      </c>
      <c r="G10" s="2">
        <f t="shared" si="2"/>
        <v>10.399999999999999</v>
      </c>
      <c r="H10" s="7">
        <v>9</v>
      </c>
    </row>
    <row r="11" spans="1:8" ht="14.25" customHeight="1" x14ac:dyDescent="0.3">
      <c r="A11" s="2" t="s">
        <v>1015</v>
      </c>
      <c r="B11" s="2">
        <v>53.5</v>
      </c>
      <c r="C11" s="2">
        <v>4.57</v>
      </c>
      <c r="D11" s="2">
        <v>244.75</v>
      </c>
      <c r="E11" s="6">
        <f t="shared" si="0"/>
        <v>8</v>
      </c>
      <c r="F11" s="6">
        <f t="shared" si="1"/>
        <v>20</v>
      </c>
      <c r="G11" s="2">
        <f t="shared" si="2"/>
        <v>11.6</v>
      </c>
      <c r="H11" s="7">
        <v>10</v>
      </c>
    </row>
    <row r="12" spans="1:8" ht="14.25" customHeight="1" x14ac:dyDescent="0.3">
      <c r="A12" s="2" t="s">
        <v>1016</v>
      </c>
      <c r="B12" s="2">
        <v>57</v>
      </c>
      <c r="C12" s="2">
        <v>4.4400000000000004</v>
      </c>
      <c r="D12" s="2">
        <v>252.95</v>
      </c>
      <c r="E12" s="6">
        <f t="shared" si="0"/>
        <v>13</v>
      </c>
      <c r="F12" s="6">
        <f t="shared" si="1"/>
        <v>12</v>
      </c>
      <c r="G12" s="2">
        <f t="shared" si="2"/>
        <v>12.7</v>
      </c>
      <c r="H12" s="7">
        <v>11</v>
      </c>
    </row>
    <row r="13" spans="1:8" ht="14.25" customHeight="1" x14ac:dyDescent="0.3">
      <c r="A13" s="2" t="s">
        <v>1017</v>
      </c>
      <c r="B13" s="2">
        <v>57</v>
      </c>
      <c r="C13" s="2">
        <v>4.42</v>
      </c>
      <c r="D13" s="2">
        <v>251.7</v>
      </c>
      <c r="E13" s="6">
        <f t="shared" si="0"/>
        <v>17</v>
      </c>
      <c r="F13" s="6">
        <f t="shared" si="1"/>
        <v>13</v>
      </c>
      <c r="G13" s="2">
        <f t="shared" si="2"/>
        <v>15.799999999999999</v>
      </c>
      <c r="H13" s="7">
        <v>12</v>
      </c>
    </row>
    <row r="14" spans="1:8" ht="14.25" customHeight="1" x14ac:dyDescent="0.3">
      <c r="A14" s="2" t="s">
        <v>1018</v>
      </c>
      <c r="B14" s="2">
        <v>61</v>
      </c>
      <c r="C14" s="2">
        <v>4.38</v>
      </c>
      <c r="D14" s="2">
        <v>266.95</v>
      </c>
      <c r="E14" s="6">
        <f t="shared" si="0"/>
        <v>21</v>
      </c>
      <c r="F14" s="6">
        <f t="shared" si="1"/>
        <v>4</v>
      </c>
      <c r="G14" s="2">
        <f t="shared" si="2"/>
        <v>15.899999999999999</v>
      </c>
      <c r="H14" s="7">
        <v>13</v>
      </c>
    </row>
    <row r="15" spans="1:8" ht="14.25" customHeight="1" x14ac:dyDescent="0.3">
      <c r="A15" s="2" t="s">
        <v>1019</v>
      </c>
      <c r="B15" s="2">
        <v>60</v>
      </c>
      <c r="C15" s="2">
        <v>4.38</v>
      </c>
      <c r="D15" s="2">
        <v>262.64999999999998</v>
      </c>
      <c r="E15" s="6">
        <f t="shared" si="0"/>
        <v>21</v>
      </c>
      <c r="F15" s="6">
        <f t="shared" si="1"/>
        <v>5</v>
      </c>
      <c r="G15" s="2">
        <f t="shared" si="2"/>
        <v>16.2</v>
      </c>
      <c r="H15" s="7">
        <v>14</v>
      </c>
    </row>
    <row r="16" spans="1:8" ht="14.25" customHeight="1" x14ac:dyDescent="0.3">
      <c r="A16" s="2" t="s">
        <v>1020</v>
      </c>
      <c r="B16" s="2">
        <v>53.5</v>
      </c>
      <c r="C16" s="2">
        <v>4.4400000000000004</v>
      </c>
      <c r="D16" s="2">
        <v>237.55</v>
      </c>
      <c r="E16" s="6">
        <f t="shared" si="0"/>
        <v>13</v>
      </c>
      <c r="F16" s="6">
        <f t="shared" si="1"/>
        <v>30</v>
      </c>
      <c r="G16" s="2">
        <f t="shared" si="2"/>
        <v>18.100000000000001</v>
      </c>
      <c r="H16" s="7">
        <v>15</v>
      </c>
    </row>
    <row r="17" spans="1:8" ht="14.25" customHeight="1" x14ac:dyDescent="0.3">
      <c r="A17" s="2" t="s">
        <v>1021</v>
      </c>
      <c r="B17" s="2">
        <v>54</v>
      </c>
      <c r="C17" s="2">
        <v>4.42</v>
      </c>
      <c r="D17" s="2">
        <v>238.45</v>
      </c>
      <c r="E17" s="6">
        <f t="shared" si="0"/>
        <v>17</v>
      </c>
      <c r="F17" s="6">
        <f t="shared" si="1"/>
        <v>27</v>
      </c>
      <c r="G17" s="2">
        <f t="shared" si="2"/>
        <v>20</v>
      </c>
      <c r="H17" s="7">
        <v>16</v>
      </c>
    </row>
    <row r="18" spans="1:8" ht="14.25" customHeight="1" x14ac:dyDescent="0.3">
      <c r="A18" s="2" t="s">
        <v>1022</v>
      </c>
      <c r="B18" s="2">
        <v>55.5</v>
      </c>
      <c r="C18" s="2">
        <v>4.4000000000000004</v>
      </c>
      <c r="D18" s="2">
        <v>244.25</v>
      </c>
      <c r="E18" s="6">
        <f t="shared" si="0"/>
        <v>20</v>
      </c>
      <c r="F18" s="6">
        <f t="shared" si="1"/>
        <v>21</v>
      </c>
      <c r="G18" s="2">
        <f t="shared" si="2"/>
        <v>20.3</v>
      </c>
      <c r="H18" s="7">
        <v>17</v>
      </c>
    </row>
    <row r="19" spans="1:8" ht="14.25" customHeight="1" x14ac:dyDescent="0.3">
      <c r="A19" s="2" t="s">
        <v>1023</v>
      </c>
      <c r="B19" s="2">
        <v>56</v>
      </c>
      <c r="C19" s="2">
        <v>4.38</v>
      </c>
      <c r="D19" s="2">
        <v>245.4</v>
      </c>
      <c r="E19" s="6">
        <f t="shared" si="0"/>
        <v>21</v>
      </c>
      <c r="F19" s="6">
        <f t="shared" si="1"/>
        <v>19</v>
      </c>
      <c r="G19" s="2">
        <f t="shared" si="2"/>
        <v>20.399999999999999</v>
      </c>
      <c r="H19" s="7">
        <v>18</v>
      </c>
    </row>
    <row r="20" spans="1:8" ht="14.25" customHeight="1" x14ac:dyDescent="0.3">
      <c r="A20" s="2" t="s">
        <v>1024</v>
      </c>
      <c r="B20" s="2">
        <v>51.5</v>
      </c>
      <c r="C20" s="2">
        <v>4.46</v>
      </c>
      <c r="D20" s="2">
        <v>229.55</v>
      </c>
      <c r="E20" s="6">
        <f t="shared" si="0"/>
        <v>12</v>
      </c>
      <c r="F20" s="6">
        <f t="shared" si="1"/>
        <v>42</v>
      </c>
      <c r="G20" s="2">
        <f t="shared" si="2"/>
        <v>21</v>
      </c>
      <c r="H20" s="7">
        <v>19</v>
      </c>
    </row>
    <row r="21" spans="1:8" ht="14.25" customHeight="1" x14ac:dyDescent="0.3">
      <c r="A21" s="2" t="s">
        <v>1025</v>
      </c>
      <c r="B21" s="2">
        <v>50</v>
      </c>
      <c r="C21" s="2">
        <v>4.55</v>
      </c>
      <c r="D21" s="2">
        <v>227.7</v>
      </c>
      <c r="E21" s="6">
        <f t="shared" si="0"/>
        <v>9</v>
      </c>
      <c r="F21" s="6">
        <f t="shared" si="1"/>
        <v>50</v>
      </c>
      <c r="G21" s="2">
        <f t="shared" si="2"/>
        <v>21.3</v>
      </c>
      <c r="H21" s="7">
        <v>20</v>
      </c>
    </row>
    <row r="22" spans="1:8" ht="14.25" customHeight="1" x14ac:dyDescent="0.3">
      <c r="A22" s="2" t="s">
        <v>1026</v>
      </c>
      <c r="B22" s="2">
        <v>52.5</v>
      </c>
      <c r="C22" s="2">
        <v>4.43</v>
      </c>
      <c r="D22" s="2">
        <v>232.5</v>
      </c>
      <c r="E22" s="6">
        <f t="shared" si="0"/>
        <v>15</v>
      </c>
      <c r="F22" s="6">
        <f t="shared" si="1"/>
        <v>38</v>
      </c>
      <c r="G22" s="2">
        <f t="shared" si="2"/>
        <v>21.9</v>
      </c>
      <c r="H22" s="7">
        <v>21</v>
      </c>
    </row>
    <row r="23" spans="1:8" ht="14.25" customHeight="1" x14ac:dyDescent="0.3">
      <c r="A23" s="2" t="s">
        <v>1027</v>
      </c>
      <c r="B23" s="2">
        <v>52.5</v>
      </c>
      <c r="C23" s="2">
        <v>4.43</v>
      </c>
      <c r="D23" s="2">
        <v>232.4</v>
      </c>
      <c r="E23" s="6">
        <f t="shared" si="0"/>
        <v>15</v>
      </c>
      <c r="F23" s="6">
        <f t="shared" si="1"/>
        <v>39</v>
      </c>
      <c r="G23" s="2">
        <f t="shared" si="2"/>
        <v>22.2</v>
      </c>
      <c r="H23" s="7">
        <v>22</v>
      </c>
    </row>
    <row r="24" spans="1:8" ht="14.25" customHeight="1" x14ac:dyDescent="0.3">
      <c r="A24" s="2" t="s">
        <v>1028</v>
      </c>
      <c r="B24" s="2">
        <v>55.5</v>
      </c>
      <c r="C24" s="2">
        <v>4.37</v>
      </c>
      <c r="D24" s="2">
        <v>242.8</v>
      </c>
      <c r="E24" s="6">
        <f t="shared" si="0"/>
        <v>25</v>
      </c>
      <c r="F24" s="6">
        <f t="shared" si="1"/>
        <v>23</v>
      </c>
      <c r="G24" s="2">
        <f t="shared" si="2"/>
        <v>24.4</v>
      </c>
      <c r="H24" s="7">
        <v>23</v>
      </c>
    </row>
    <row r="25" spans="1:8" ht="14.25" customHeight="1" x14ac:dyDescent="0.3">
      <c r="A25" s="2" t="s">
        <v>1029</v>
      </c>
      <c r="B25" s="2">
        <v>53.5</v>
      </c>
      <c r="C25" s="2">
        <v>4.38</v>
      </c>
      <c r="D25" s="2">
        <v>234.3</v>
      </c>
      <c r="E25" s="6">
        <f t="shared" si="0"/>
        <v>21</v>
      </c>
      <c r="F25" s="6">
        <f t="shared" si="1"/>
        <v>35</v>
      </c>
      <c r="G25" s="2">
        <f t="shared" si="2"/>
        <v>25.2</v>
      </c>
      <c r="H25" s="7">
        <v>24</v>
      </c>
    </row>
    <row r="26" spans="1:8" ht="14.25" customHeight="1" x14ac:dyDescent="0.3">
      <c r="A26" s="2" t="s">
        <v>1030</v>
      </c>
      <c r="B26" s="2">
        <v>58.5</v>
      </c>
      <c r="C26" s="2">
        <v>4.32</v>
      </c>
      <c r="D26" s="2">
        <v>253</v>
      </c>
      <c r="E26" s="6">
        <f t="shared" si="0"/>
        <v>32</v>
      </c>
      <c r="F26" s="6">
        <f t="shared" si="1"/>
        <v>11</v>
      </c>
      <c r="G26" s="2">
        <f t="shared" si="2"/>
        <v>25.7</v>
      </c>
      <c r="H26" s="7">
        <v>25</v>
      </c>
    </row>
    <row r="27" spans="1:8" ht="14.25" customHeight="1" x14ac:dyDescent="0.3">
      <c r="A27" s="2" t="s">
        <v>1031</v>
      </c>
      <c r="B27" s="2">
        <v>58</v>
      </c>
      <c r="C27" s="2">
        <v>4.33</v>
      </c>
      <c r="D27" s="2">
        <v>251.4</v>
      </c>
      <c r="E27" s="6">
        <f t="shared" si="0"/>
        <v>31</v>
      </c>
      <c r="F27" s="6">
        <f t="shared" si="1"/>
        <v>14</v>
      </c>
      <c r="G27" s="2">
        <f t="shared" si="2"/>
        <v>25.9</v>
      </c>
      <c r="H27" s="7">
        <v>26</v>
      </c>
    </row>
    <row r="28" spans="1:8" ht="14.25" customHeight="1" x14ac:dyDescent="0.3">
      <c r="A28" s="2" t="s">
        <v>1032</v>
      </c>
      <c r="B28" s="2">
        <v>55.5</v>
      </c>
      <c r="C28" s="2">
        <v>4.3600000000000003</v>
      </c>
      <c r="D28" s="2">
        <v>241.8</v>
      </c>
      <c r="E28" s="6">
        <f t="shared" si="0"/>
        <v>27</v>
      </c>
      <c r="F28" s="6">
        <f t="shared" si="1"/>
        <v>24</v>
      </c>
      <c r="G28" s="2">
        <f t="shared" si="2"/>
        <v>26.099999999999998</v>
      </c>
      <c r="H28" s="7">
        <v>27</v>
      </c>
    </row>
    <row r="29" spans="1:8" ht="14.25" customHeight="1" x14ac:dyDescent="0.3">
      <c r="A29" s="2" t="s">
        <v>1033</v>
      </c>
      <c r="B29" s="2">
        <v>52</v>
      </c>
      <c r="C29" s="2">
        <v>4.41</v>
      </c>
      <c r="D29" s="2">
        <v>229.3</v>
      </c>
      <c r="E29" s="6">
        <f t="shared" si="0"/>
        <v>19</v>
      </c>
      <c r="F29" s="6">
        <f t="shared" si="1"/>
        <v>43</v>
      </c>
      <c r="G29" s="2">
        <f t="shared" si="2"/>
        <v>26.2</v>
      </c>
      <c r="H29" s="7">
        <v>28</v>
      </c>
    </row>
    <row r="30" spans="1:8" ht="14.25" customHeight="1" x14ac:dyDescent="0.3">
      <c r="A30" s="2" t="s">
        <v>1034</v>
      </c>
      <c r="B30" s="2">
        <v>56</v>
      </c>
      <c r="C30" s="2">
        <v>4.34</v>
      </c>
      <c r="D30" s="2">
        <v>242.85</v>
      </c>
      <c r="E30" s="6">
        <f t="shared" si="0"/>
        <v>30</v>
      </c>
      <c r="F30" s="6">
        <f t="shared" si="1"/>
        <v>22</v>
      </c>
      <c r="G30" s="2">
        <f t="shared" si="2"/>
        <v>27.6</v>
      </c>
      <c r="H30" s="7">
        <v>29</v>
      </c>
    </row>
    <row r="31" spans="1:8" ht="14.25" customHeight="1" x14ac:dyDescent="0.3">
      <c r="A31" s="2" t="s">
        <v>1035</v>
      </c>
      <c r="B31" s="2">
        <v>54</v>
      </c>
      <c r="C31" s="2">
        <v>4.3600000000000003</v>
      </c>
      <c r="D31" s="2">
        <v>235.45</v>
      </c>
      <c r="E31" s="6">
        <f t="shared" si="0"/>
        <v>27</v>
      </c>
      <c r="F31" s="6">
        <f t="shared" si="1"/>
        <v>34</v>
      </c>
      <c r="G31" s="2">
        <f t="shared" si="2"/>
        <v>29.099999999999998</v>
      </c>
      <c r="H31" s="7">
        <v>30</v>
      </c>
    </row>
    <row r="32" spans="1:8" ht="14.25" customHeight="1" x14ac:dyDescent="0.3">
      <c r="A32" s="2" t="s">
        <v>1036</v>
      </c>
      <c r="B32" s="2">
        <v>59.5</v>
      </c>
      <c r="C32" s="2">
        <v>4.26</v>
      </c>
      <c r="D32" s="2">
        <v>253.5</v>
      </c>
      <c r="E32" s="6">
        <f t="shared" si="0"/>
        <v>38</v>
      </c>
      <c r="F32" s="6">
        <f t="shared" si="1"/>
        <v>10</v>
      </c>
      <c r="G32" s="2">
        <f t="shared" si="2"/>
        <v>29.599999999999998</v>
      </c>
      <c r="H32" s="7">
        <v>31</v>
      </c>
    </row>
    <row r="33" spans="1:8" ht="14.25" customHeight="1" x14ac:dyDescent="0.3">
      <c r="A33" s="2" t="s">
        <v>1037</v>
      </c>
      <c r="B33" s="2">
        <v>53.5</v>
      </c>
      <c r="C33" s="2">
        <v>4.3600000000000003</v>
      </c>
      <c r="D33" s="2">
        <v>233</v>
      </c>
      <c r="E33" s="6">
        <f t="shared" si="0"/>
        <v>27</v>
      </c>
      <c r="F33" s="6">
        <f t="shared" si="1"/>
        <v>37</v>
      </c>
      <c r="G33" s="2">
        <f t="shared" si="2"/>
        <v>30</v>
      </c>
      <c r="H33" s="7">
        <v>32</v>
      </c>
    </row>
    <row r="34" spans="1:8" ht="14.25" customHeight="1" x14ac:dyDescent="0.3">
      <c r="A34" s="2" t="s">
        <v>1038</v>
      </c>
      <c r="B34" s="2">
        <v>55.5</v>
      </c>
      <c r="C34" s="2">
        <v>4.3</v>
      </c>
      <c r="D34" s="2">
        <v>238.5</v>
      </c>
      <c r="E34" s="6">
        <f t="shared" ref="E34:E65" si="3">_xlfn.RANK.EQ(C34,C:C,0)</f>
        <v>33</v>
      </c>
      <c r="F34" s="6">
        <f t="shared" ref="F34:F65" si="4">_xlfn.RANK.EQ(D34,D:D,0)</f>
        <v>26</v>
      </c>
      <c r="G34" s="2">
        <f t="shared" ref="G34:G65" si="5">E34*0.7+F34*0.3</f>
        <v>30.9</v>
      </c>
      <c r="H34" s="7">
        <v>33</v>
      </c>
    </row>
    <row r="35" spans="1:8" ht="14.25" customHeight="1" x14ac:dyDescent="0.3">
      <c r="A35" s="2" t="s">
        <v>1039</v>
      </c>
      <c r="B35" s="2">
        <v>59.5</v>
      </c>
      <c r="C35" s="2">
        <v>4.22</v>
      </c>
      <c r="D35" s="2">
        <v>250.95</v>
      </c>
      <c r="E35" s="6">
        <f t="shared" si="3"/>
        <v>43</v>
      </c>
      <c r="F35" s="6">
        <f t="shared" si="4"/>
        <v>15</v>
      </c>
      <c r="G35" s="2">
        <f t="shared" si="5"/>
        <v>34.599999999999994</v>
      </c>
      <c r="H35" s="7">
        <v>34</v>
      </c>
    </row>
    <row r="36" spans="1:8" ht="14.25" customHeight="1" x14ac:dyDescent="0.3">
      <c r="A36" s="2" t="s">
        <v>1040</v>
      </c>
      <c r="B36" s="2">
        <v>51.5</v>
      </c>
      <c r="C36" s="2">
        <v>4.37</v>
      </c>
      <c r="D36" s="2">
        <v>224.95</v>
      </c>
      <c r="E36" s="6">
        <f t="shared" si="3"/>
        <v>25</v>
      </c>
      <c r="F36" s="6">
        <f t="shared" si="4"/>
        <v>60</v>
      </c>
      <c r="G36" s="2">
        <f t="shared" si="5"/>
        <v>35.5</v>
      </c>
      <c r="H36" s="7">
        <v>35</v>
      </c>
    </row>
    <row r="37" spans="1:8" ht="14.25" customHeight="1" x14ac:dyDescent="0.3">
      <c r="A37" s="2" t="s">
        <v>1041</v>
      </c>
      <c r="B37" s="2">
        <v>61.5</v>
      </c>
      <c r="C37" s="2">
        <v>4.18</v>
      </c>
      <c r="D37" s="2">
        <v>257.3</v>
      </c>
      <c r="E37" s="6">
        <f t="shared" si="3"/>
        <v>49</v>
      </c>
      <c r="F37" s="6">
        <f t="shared" si="4"/>
        <v>7</v>
      </c>
      <c r="G37" s="2">
        <f t="shared" si="5"/>
        <v>36.4</v>
      </c>
      <c r="H37" s="7">
        <v>36</v>
      </c>
    </row>
    <row r="38" spans="1:8" ht="14.25" customHeight="1" x14ac:dyDescent="0.3">
      <c r="A38" s="2" t="s">
        <v>1042</v>
      </c>
      <c r="B38" s="2">
        <v>56</v>
      </c>
      <c r="C38" s="2">
        <v>4.25</v>
      </c>
      <c r="D38" s="2">
        <v>237.9</v>
      </c>
      <c r="E38" s="6">
        <f t="shared" si="3"/>
        <v>40</v>
      </c>
      <c r="F38" s="6">
        <f t="shared" si="4"/>
        <v>29</v>
      </c>
      <c r="G38" s="2">
        <f t="shared" si="5"/>
        <v>36.700000000000003</v>
      </c>
      <c r="H38" s="7">
        <v>37</v>
      </c>
    </row>
    <row r="39" spans="1:8" ht="14.25" customHeight="1" x14ac:dyDescent="0.3">
      <c r="A39" s="2" t="s">
        <v>1043</v>
      </c>
      <c r="B39" s="2">
        <v>53</v>
      </c>
      <c r="C39" s="2">
        <v>4.3</v>
      </c>
      <c r="D39" s="2">
        <v>228.05</v>
      </c>
      <c r="E39" s="6">
        <f t="shared" si="3"/>
        <v>33</v>
      </c>
      <c r="F39" s="6">
        <f t="shared" si="4"/>
        <v>48</v>
      </c>
      <c r="G39" s="2">
        <f t="shared" si="5"/>
        <v>37.5</v>
      </c>
      <c r="H39" s="7">
        <v>38</v>
      </c>
    </row>
    <row r="40" spans="1:8" ht="14.25" customHeight="1" x14ac:dyDescent="0.3">
      <c r="A40" s="2" t="s">
        <v>1044</v>
      </c>
      <c r="B40" s="2">
        <v>53</v>
      </c>
      <c r="C40" s="2">
        <v>4.3</v>
      </c>
      <c r="D40" s="2">
        <v>228</v>
      </c>
      <c r="E40" s="6">
        <f t="shared" si="3"/>
        <v>33</v>
      </c>
      <c r="F40" s="6">
        <f t="shared" si="4"/>
        <v>49</v>
      </c>
      <c r="G40" s="2">
        <f t="shared" si="5"/>
        <v>37.799999999999997</v>
      </c>
      <c r="H40" s="7">
        <v>39</v>
      </c>
    </row>
    <row r="41" spans="1:8" ht="14.25" customHeight="1" x14ac:dyDescent="0.3">
      <c r="A41" s="2" t="s">
        <v>1045</v>
      </c>
      <c r="B41" s="2">
        <v>56.5</v>
      </c>
      <c r="C41" s="2">
        <v>4.22</v>
      </c>
      <c r="D41" s="2">
        <v>238.2</v>
      </c>
      <c r="E41" s="6">
        <f t="shared" si="3"/>
        <v>43</v>
      </c>
      <c r="F41" s="6">
        <f t="shared" si="4"/>
        <v>28</v>
      </c>
      <c r="G41" s="2">
        <f t="shared" si="5"/>
        <v>38.5</v>
      </c>
      <c r="H41" s="7">
        <v>40</v>
      </c>
    </row>
    <row r="42" spans="1:8" ht="14.25" customHeight="1" x14ac:dyDescent="0.3">
      <c r="A42" s="2" t="s">
        <v>1046</v>
      </c>
      <c r="B42" s="2">
        <v>56</v>
      </c>
      <c r="C42" s="2">
        <v>4.22</v>
      </c>
      <c r="D42" s="2">
        <v>236.2</v>
      </c>
      <c r="E42" s="6">
        <f t="shared" si="3"/>
        <v>43</v>
      </c>
      <c r="F42" s="6">
        <f t="shared" si="4"/>
        <v>33</v>
      </c>
      <c r="G42" s="2">
        <f t="shared" si="5"/>
        <v>40</v>
      </c>
      <c r="H42" s="7">
        <v>41</v>
      </c>
    </row>
    <row r="43" spans="1:8" ht="14.25" customHeight="1" x14ac:dyDescent="0.3">
      <c r="A43" s="2" t="s">
        <v>1047</v>
      </c>
      <c r="B43" s="2">
        <v>57</v>
      </c>
      <c r="C43" s="2">
        <v>4.1900000000000004</v>
      </c>
      <c r="D43" s="2">
        <v>238.9</v>
      </c>
      <c r="E43" s="6">
        <f t="shared" si="3"/>
        <v>47</v>
      </c>
      <c r="F43" s="6">
        <f t="shared" si="4"/>
        <v>25</v>
      </c>
      <c r="G43" s="2">
        <f t="shared" si="5"/>
        <v>40.4</v>
      </c>
      <c r="H43" s="7">
        <v>42</v>
      </c>
    </row>
    <row r="44" spans="1:8" ht="14.25" customHeight="1" x14ac:dyDescent="0.3">
      <c r="A44" s="2" t="s">
        <v>1048</v>
      </c>
      <c r="B44" s="2">
        <v>56.5</v>
      </c>
      <c r="C44" s="2">
        <v>4.1900000000000004</v>
      </c>
      <c r="D44" s="2">
        <v>236.95</v>
      </c>
      <c r="E44" s="6">
        <f t="shared" si="3"/>
        <v>47</v>
      </c>
      <c r="F44" s="6">
        <f t="shared" si="4"/>
        <v>31</v>
      </c>
      <c r="G44" s="2">
        <f t="shared" si="5"/>
        <v>42.199999999999996</v>
      </c>
      <c r="H44" s="7">
        <v>43</v>
      </c>
    </row>
    <row r="45" spans="1:8" ht="14.25" customHeight="1" x14ac:dyDescent="0.3">
      <c r="A45" s="2" t="s">
        <v>1049</v>
      </c>
      <c r="B45" s="2">
        <v>53.5</v>
      </c>
      <c r="C45" s="2">
        <v>4.25</v>
      </c>
      <c r="D45" s="2">
        <v>227.55</v>
      </c>
      <c r="E45" s="6">
        <f t="shared" si="3"/>
        <v>40</v>
      </c>
      <c r="F45" s="6">
        <f t="shared" si="4"/>
        <v>52</v>
      </c>
      <c r="G45" s="2">
        <f t="shared" si="5"/>
        <v>43.6</v>
      </c>
      <c r="H45" s="7">
        <v>44</v>
      </c>
    </row>
    <row r="46" spans="1:8" ht="14.25" customHeight="1" x14ac:dyDescent="0.3">
      <c r="A46" s="2" t="s">
        <v>1050</v>
      </c>
      <c r="B46" s="2">
        <v>53</v>
      </c>
      <c r="C46" s="2">
        <v>4.26</v>
      </c>
      <c r="D46" s="2">
        <v>225.7</v>
      </c>
      <c r="E46" s="6">
        <f t="shared" si="3"/>
        <v>38</v>
      </c>
      <c r="F46" s="6">
        <f t="shared" si="4"/>
        <v>57</v>
      </c>
      <c r="G46" s="2">
        <f t="shared" si="5"/>
        <v>43.699999999999996</v>
      </c>
      <c r="H46" s="7">
        <v>45</v>
      </c>
    </row>
    <row r="47" spans="1:8" ht="14.25" customHeight="1" x14ac:dyDescent="0.3">
      <c r="A47" s="2" t="s">
        <v>1051</v>
      </c>
      <c r="B47" s="2">
        <v>52.5</v>
      </c>
      <c r="C47" s="2">
        <v>4.28</v>
      </c>
      <c r="D47" s="2">
        <v>224.65</v>
      </c>
      <c r="E47" s="6">
        <f t="shared" si="3"/>
        <v>37</v>
      </c>
      <c r="F47" s="6">
        <f t="shared" si="4"/>
        <v>61</v>
      </c>
      <c r="G47" s="2">
        <f t="shared" si="5"/>
        <v>44.2</v>
      </c>
      <c r="H47" s="7">
        <v>46</v>
      </c>
    </row>
    <row r="48" spans="1:8" ht="14.25" customHeight="1" x14ac:dyDescent="0.3">
      <c r="A48" s="2" t="s">
        <v>1052</v>
      </c>
      <c r="B48" s="2">
        <v>51</v>
      </c>
      <c r="C48" s="2">
        <v>4.29</v>
      </c>
      <c r="D48" s="2">
        <v>218.75</v>
      </c>
      <c r="E48" s="6">
        <f t="shared" si="3"/>
        <v>36</v>
      </c>
      <c r="F48" s="6">
        <f t="shared" si="4"/>
        <v>71</v>
      </c>
      <c r="G48" s="2">
        <f t="shared" si="5"/>
        <v>46.5</v>
      </c>
      <c r="H48" s="7">
        <v>47</v>
      </c>
    </row>
    <row r="49" spans="1:8" ht="14.25" customHeight="1" x14ac:dyDescent="0.3">
      <c r="A49" s="2" t="s">
        <v>1053</v>
      </c>
      <c r="B49" s="2">
        <v>55.5</v>
      </c>
      <c r="C49" s="2">
        <v>4.17</v>
      </c>
      <c r="D49" s="2">
        <v>231.4</v>
      </c>
      <c r="E49" s="6">
        <f t="shared" si="3"/>
        <v>50</v>
      </c>
      <c r="F49" s="6">
        <f t="shared" si="4"/>
        <v>41</v>
      </c>
      <c r="G49" s="2">
        <f t="shared" si="5"/>
        <v>47.3</v>
      </c>
      <c r="H49" s="7">
        <v>48</v>
      </c>
    </row>
    <row r="50" spans="1:8" ht="14.25" customHeight="1" x14ac:dyDescent="0.3">
      <c r="A50" s="2" t="s">
        <v>1054</v>
      </c>
      <c r="B50" s="2">
        <v>53</v>
      </c>
      <c r="C50" s="2">
        <v>4.24</v>
      </c>
      <c r="D50" s="2">
        <v>224.55</v>
      </c>
      <c r="E50" s="6">
        <f t="shared" si="3"/>
        <v>42</v>
      </c>
      <c r="F50" s="6">
        <f t="shared" si="4"/>
        <v>62</v>
      </c>
      <c r="G50" s="2">
        <f t="shared" si="5"/>
        <v>48</v>
      </c>
      <c r="H50" s="7">
        <v>49</v>
      </c>
    </row>
    <row r="51" spans="1:8" ht="14.25" customHeight="1" x14ac:dyDescent="0.3">
      <c r="A51" s="2" t="s">
        <v>1055</v>
      </c>
      <c r="B51" s="2">
        <v>54</v>
      </c>
      <c r="C51" s="2">
        <v>4.21</v>
      </c>
      <c r="D51" s="2">
        <v>227.4</v>
      </c>
      <c r="E51" s="6">
        <f t="shared" si="3"/>
        <v>46</v>
      </c>
      <c r="F51" s="6">
        <f t="shared" si="4"/>
        <v>53</v>
      </c>
      <c r="G51" s="2">
        <f t="shared" si="5"/>
        <v>48.099999999999994</v>
      </c>
      <c r="H51" s="7">
        <v>50</v>
      </c>
    </row>
    <row r="52" spans="1:8" ht="14.25" customHeight="1" x14ac:dyDescent="0.3">
      <c r="A52" s="2" t="s">
        <v>1056</v>
      </c>
      <c r="B52" s="2">
        <v>55</v>
      </c>
      <c r="C52" s="2">
        <v>4.1500000000000004</v>
      </c>
      <c r="D52" s="2">
        <v>228.35</v>
      </c>
      <c r="E52" s="6">
        <f t="shared" si="3"/>
        <v>52</v>
      </c>
      <c r="F52" s="6">
        <f t="shared" si="4"/>
        <v>46</v>
      </c>
      <c r="G52" s="2">
        <f t="shared" si="5"/>
        <v>50.199999999999996</v>
      </c>
      <c r="H52" s="7">
        <v>51</v>
      </c>
    </row>
    <row r="53" spans="1:8" ht="14.25" customHeight="1" x14ac:dyDescent="0.3">
      <c r="A53" s="2" t="s">
        <v>1057</v>
      </c>
      <c r="B53" s="2">
        <v>55.5</v>
      </c>
      <c r="C53" s="2">
        <v>4.13</v>
      </c>
      <c r="D53" s="2">
        <v>229.15</v>
      </c>
      <c r="E53" s="6">
        <f t="shared" si="3"/>
        <v>55</v>
      </c>
      <c r="F53" s="6">
        <f t="shared" si="4"/>
        <v>44</v>
      </c>
      <c r="G53" s="2">
        <f t="shared" si="5"/>
        <v>51.7</v>
      </c>
      <c r="H53" s="7">
        <v>52</v>
      </c>
    </row>
    <row r="54" spans="1:8" ht="14.25" customHeight="1" x14ac:dyDescent="0.3">
      <c r="A54" s="2" t="s">
        <v>1058</v>
      </c>
      <c r="B54" s="2">
        <v>55.5</v>
      </c>
      <c r="C54" s="2">
        <v>4.12</v>
      </c>
      <c r="D54" s="2">
        <v>228.55</v>
      </c>
      <c r="E54" s="6">
        <f t="shared" si="3"/>
        <v>57</v>
      </c>
      <c r="F54" s="6">
        <f t="shared" si="4"/>
        <v>45</v>
      </c>
      <c r="G54" s="2">
        <f t="shared" si="5"/>
        <v>53.4</v>
      </c>
      <c r="H54" s="7">
        <v>53</v>
      </c>
    </row>
    <row r="55" spans="1:8" ht="14.25" customHeight="1" x14ac:dyDescent="0.3">
      <c r="A55" s="2" t="s">
        <v>1059</v>
      </c>
      <c r="B55" s="2">
        <v>57</v>
      </c>
      <c r="C55" s="2">
        <v>4.09</v>
      </c>
      <c r="D55" s="2">
        <v>233.4</v>
      </c>
      <c r="E55" s="6">
        <f t="shared" si="3"/>
        <v>62</v>
      </c>
      <c r="F55" s="6">
        <f t="shared" si="4"/>
        <v>36</v>
      </c>
      <c r="G55" s="2">
        <f t="shared" si="5"/>
        <v>54.199999999999996</v>
      </c>
      <c r="H55" s="7">
        <v>54</v>
      </c>
    </row>
    <row r="56" spans="1:8" ht="14.25" customHeight="1" x14ac:dyDescent="0.3">
      <c r="A56" s="2" t="s">
        <v>1060</v>
      </c>
      <c r="B56" s="2">
        <v>58</v>
      </c>
      <c r="C56" s="2">
        <v>4.08</v>
      </c>
      <c r="D56" s="2">
        <v>236.4</v>
      </c>
      <c r="E56" s="6">
        <f t="shared" si="3"/>
        <v>64</v>
      </c>
      <c r="F56" s="6">
        <f t="shared" si="4"/>
        <v>32</v>
      </c>
      <c r="G56" s="2">
        <f t="shared" si="5"/>
        <v>54.4</v>
      </c>
      <c r="H56" s="7">
        <v>55</v>
      </c>
    </row>
    <row r="57" spans="1:8" ht="14.25" customHeight="1" x14ac:dyDescent="0.3">
      <c r="A57" s="2" t="s">
        <v>1061</v>
      </c>
      <c r="B57" s="2">
        <v>54</v>
      </c>
      <c r="C57" s="2">
        <v>4.1500000000000004</v>
      </c>
      <c r="D57" s="2">
        <v>224.15</v>
      </c>
      <c r="E57" s="6">
        <f t="shared" si="3"/>
        <v>52</v>
      </c>
      <c r="F57" s="6">
        <f t="shared" si="4"/>
        <v>63</v>
      </c>
      <c r="G57" s="2">
        <f t="shared" si="5"/>
        <v>55.3</v>
      </c>
      <c r="H57" s="7">
        <v>56</v>
      </c>
    </row>
    <row r="58" spans="1:8" ht="14.25" customHeight="1" x14ac:dyDescent="0.3">
      <c r="A58" s="2" t="s">
        <v>1062</v>
      </c>
      <c r="B58" s="2">
        <v>54.5</v>
      </c>
      <c r="C58" s="2">
        <v>4.1399999999999997</v>
      </c>
      <c r="D58" s="2">
        <v>225.45</v>
      </c>
      <c r="E58" s="6">
        <f t="shared" si="3"/>
        <v>54</v>
      </c>
      <c r="F58" s="6">
        <f t="shared" si="4"/>
        <v>59</v>
      </c>
      <c r="G58" s="2">
        <f t="shared" si="5"/>
        <v>55.5</v>
      </c>
      <c r="H58" s="7">
        <v>57</v>
      </c>
    </row>
    <row r="59" spans="1:8" ht="14.25" customHeight="1" x14ac:dyDescent="0.3">
      <c r="A59" s="2" t="s">
        <v>1063</v>
      </c>
      <c r="B59" s="2">
        <v>55</v>
      </c>
      <c r="C59" s="2">
        <v>4.1100000000000003</v>
      </c>
      <c r="D59" s="2">
        <v>225.9</v>
      </c>
      <c r="E59" s="6">
        <f t="shared" si="3"/>
        <v>59</v>
      </c>
      <c r="F59" s="6">
        <f t="shared" si="4"/>
        <v>56</v>
      </c>
      <c r="G59" s="2">
        <f t="shared" si="5"/>
        <v>58.099999999999994</v>
      </c>
      <c r="H59" s="7">
        <v>58</v>
      </c>
    </row>
    <row r="60" spans="1:8" ht="14.25" customHeight="1" x14ac:dyDescent="0.3">
      <c r="A60" s="2" t="s">
        <v>1064</v>
      </c>
      <c r="B60" s="2">
        <v>53.5</v>
      </c>
      <c r="C60" s="2">
        <v>4.13</v>
      </c>
      <c r="D60" s="2">
        <v>220.95</v>
      </c>
      <c r="E60" s="6">
        <f t="shared" si="3"/>
        <v>55</v>
      </c>
      <c r="F60" s="6">
        <f t="shared" si="4"/>
        <v>67</v>
      </c>
      <c r="G60" s="2">
        <f t="shared" si="5"/>
        <v>58.599999999999994</v>
      </c>
      <c r="H60" s="7">
        <v>59</v>
      </c>
    </row>
    <row r="61" spans="1:8" ht="14.25" customHeight="1" x14ac:dyDescent="0.3">
      <c r="A61" s="2" t="s">
        <v>1065</v>
      </c>
      <c r="B61" s="2">
        <v>54</v>
      </c>
      <c r="C61" s="2">
        <v>4.12</v>
      </c>
      <c r="D61" s="2">
        <v>222.3</v>
      </c>
      <c r="E61" s="6">
        <f t="shared" si="3"/>
        <v>57</v>
      </c>
      <c r="F61" s="6">
        <f t="shared" si="4"/>
        <v>64</v>
      </c>
      <c r="G61" s="2">
        <f t="shared" si="5"/>
        <v>59.099999999999994</v>
      </c>
      <c r="H61" s="7">
        <v>60</v>
      </c>
    </row>
    <row r="62" spans="1:8" ht="14.25" customHeight="1" x14ac:dyDescent="0.3">
      <c r="A62" s="2" t="s">
        <v>1066</v>
      </c>
      <c r="B62" s="2">
        <v>57.5</v>
      </c>
      <c r="C62" s="2">
        <v>4.03</v>
      </c>
      <c r="D62" s="2">
        <v>231.8</v>
      </c>
      <c r="E62" s="6">
        <f t="shared" si="3"/>
        <v>70</v>
      </c>
      <c r="F62" s="6">
        <f t="shared" si="4"/>
        <v>40</v>
      </c>
      <c r="G62" s="2">
        <f t="shared" si="5"/>
        <v>61</v>
      </c>
      <c r="H62" s="7">
        <v>61</v>
      </c>
    </row>
    <row r="63" spans="1:8" ht="14.25" customHeight="1" x14ac:dyDescent="0.3">
      <c r="A63" s="2" t="s">
        <v>1067</v>
      </c>
      <c r="B63" s="2">
        <v>49.5</v>
      </c>
      <c r="C63" s="2">
        <v>4.17</v>
      </c>
      <c r="D63" s="2">
        <v>206.45</v>
      </c>
      <c r="E63" s="6">
        <f t="shared" si="3"/>
        <v>50</v>
      </c>
      <c r="F63" s="6">
        <f t="shared" si="4"/>
        <v>88</v>
      </c>
      <c r="G63" s="2">
        <f t="shared" si="5"/>
        <v>61.4</v>
      </c>
      <c r="H63" s="7">
        <v>62</v>
      </c>
    </row>
    <row r="64" spans="1:8" ht="14.25" customHeight="1" x14ac:dyDescent="0.3">
      <c r="A64" s="2" t="s">
        <v>1068</v>
      </c>
      <c r="B64" s="2">
        <v>56</v>
      </c>
      <c r="C64" s="2">
        <v>4.0599999999999996</v>
      </c>
      <c r="D64" s="2">
        <v>227.6</v>
      </c>
      <c r="E64" s="6">
        <f t="shared" si="3"/>
        <v>67</v>
      </c>
      <c r="F64" s="6">
        <f t="shared" si="4"/>
        <v>51</v>
      </c>
      <c r="G64" s="2">
        <f t="shared" si="5"/>
        <v>62.199999999999996</v>
      </c>
      <c r="H64" s="7">
        <v>63</v>
      </c>
    </row>
    <row r="65" spans="1:8" ht="14.25" customHeight="1" x14ac:dyDescent="0.3">
      <c r="A65" s="2" t="s">
        <v>1069</v>
      </c>
      <c r="B65" s="2">
        <v>52</v>
      </c>
      <c r="C65" s="2">
        <v>4.1100000000000003</v>
      </c>
      <c r="D65" s="2">
        <v>213.6</v>
      </c>
      <c r="E65" s="6">
        <f t="shared" si="3"/>
        <v>59</v>
      </c>
      <c r="F65" s="6">
        <f t="shared" si="4"/>
        <v>76</v>
      </c>
      <c r="G65" s="2">
        <f t="shared" si="5"/>
        <v>64.099999999999994</v>
      </c>
      <c r="H65" s="7">
        <v>64</v>
      </c>
    </row>
    <row r="66" spans="1:8" ht="14.25" customHeight="1" x14ac:dyDescent="0.3">
      <c r="A66" s="2" t="s">
        <v>1070</v>
      </c>
      <c r="B66" s="2">
        <v>56</v>
      </c>
      <c r="C66" s="2">
        <v>4.05</v>
      </c>
      <c r="D66" s="2">
        <v>226.9</v>
      </c>
      <c r="E66" s="6">
        <f t="shared" ref="E66:E97" si="6">_xlfn.RANK.EQ(C66,C:C,0)</f>
        <v>69</v>
      </c>
      <c r="F66" s="6">
        <f t="shared" ref="F66:F97" si="7">_xlfn.RANK.EQ(D66,D:D,0)</f>
        <v>55</v>
      </c>
      <c r="G66" s="2">
        <f t="shared" ref="G66:G97" si="8">E66*0.7+F66*0.3</f>
        <v>64.8</v>
      </c>
      <c r="H66" s="7">
        <v>65</v>
      </c>
    </row>
    <row r="67" spans="1:8" ht="14.25" customHeight="1" x14ac:dyDescent="0.3">
      <c r="A67" s="2" t="s">
        <v>1071</v>
      </c>
      <c r="B67" s="2">
        <v>53.5</v>
      </c>
      <c r="C67" s="2">
        <v>4.09</v>
      </c>
      <c r="D67" s="2">
        <v>218.6</v>
      </c>
      <c r="E67" s="6">
        <f t="shared" si="6"/>
        <v>62</v>
      </c>
      <c r="F67" s="6">
        <f t="shared" si="7"/>
        <v>72</v>
      </c>
      <c r="G67" s="2">
        <f t="shared" si="8"/>
        <v>65</v>
      </c>
      <c r="H67" s="7">
        <v>66</v>
      </c>
    </row>
    <row r="68" spans="1:8" ht="14.25" customHeight="1" x14ac:dyDescent="0.3">
      <c r="A68" s="2" t="s">
        <v>1072</v>
      </c>
      <c r="B68" s="2">
        <v>51.5</v>
      </c>
      <c r="C68" s="2">
        <v>4.0999999999999996</v>
      </c>
      <c r="D68" s="2">
        <v>211.2</v>
      </c>
      <c r="E68" s="6">
        <f t="shared" si="6"/>
        <v>61</v>
      </c>
      <c r="F68" s="6">
        <f t="shared" si="7"/>
        <v>79</v>
      </c>
      <c r="G68" s="2">
        <f t="shared" si="8"/>
        <v>66.399999999999991</v>
      </c>
      <c r="H68" s="7">
        <v>67</v>
      </c>
    </row>
    <row r="69" spans="1:8" ht="14.25" customHeight="1" x14ac:dyDescent="0.3">
      <c r="A69" s="2" t="s">
        <v>1073</v>
      </c>
      <c r="B69" s="2">
        <v>57</v>
      </c>
      <c r="C69" s="2">
        <v>3.98</v>
      </c>
      <c r="D69" s="2">
        <v>227</v>
      </c>
      <c r="E69" s="6">
        <f t="shared" si="6"/>
        <v>72</v>
      </c>
      <c r="F69" s="6">
        <f t="shared" si="7"/>
        <v>54</v>
      </c>
      <c r="G69" s="2">
        <f t="shared" si="8"/>
        <v>66.599999999999994</v>
      </c>
      <c r="H69" s="7">
        <v>68</v>
      </c>
    </row>
    <row r="70" spans="1:8" ht="14.25" customHeight="1" x14ac:dyDescent="0.3">
      <c r="A70" s="2" t="s">
        <v>1074</v>
      </c>
      <c r="B70" s="2">
        <v>53.5</v>
      </c>
      <c r="C70" s="2">
        <v>4.08</v>
      </c>
      <c r="D70" s="2">
        <v>218.4</v>
      </c>
      <c r="E70" s="6">
        <f t="shared" si="6"/>
        <v>64</v>
      </c>
      <c r="F70" s="6">
        <f t="shared" si="7"/>
        <v>73</v>
      </c>
      <c r="G70" s="2">
        <f t="shared" si="8"/>
        <v>66.699999999999989</v>
      </c>
      <c r="H70" s="7">
        <v>69</v>
      </c>
    </row>
    <row r="71" spans="1:8" ht="14.25" customHeight="1" x14ac:dyDescent="0.3">
      <c r="A71" s="2" t="s">
        <v>1075</v>
      </c>
      <c r="B71" s="2">
        <v>58</v>
      </c>
      <c r="C71" s="2">
        <v>3.94</v>
      </c>
      <c r="D71" s="2">
        <v>228.25</v>
      </c>
      <c r="E71" s="6">
        <f t="shared" si="6"/>
        <v>76</v>
      </c>
      <c r="F71" s="6">
        <f t="shared" si="7"/>
        <v>47</v>
      </c>
      <c r="G71" s="2">
        <f t="shared" si="8"/>
        <v>67.3</v>
      </c>
      <c r="H71" s="7">
        <v>70</v>
      </c>
    </row>
    <row r="72" spans="1:8" ht="14.25" customHeight="1" x14ac:dyDescent="0.3">
      <c r="A72" s="2" t="s">
        <v>1076</v>
      </c>
      <c r="B72" s="2">
        <v>55</v>
      </c>
      <c r="C72" s="2">
        <v>4.0199999999999996</v>
      </c>
      <c r="D72" s="2">
        <v>221.05</v>
      </c>
      <c r="E72" s="6">
        <f t="shared" si="6"/>
        <v>71</v>
      </c>
      <c r="F72" s="6">
        <f t="shared" si="7"/>
        <v>66</v>
      </c>
      <c r="G72" s="2">
        <f t="shared" si="8"/>
        <v>69.5</v>
      </c>
      <c r="H72" s="7">
        <v>71</v>
      </c>
    </row>
    <row r="73" spans="1:8" ht="14.25" customHeight="1" x14ac:dyDescent="0.3">
      <c r="A73" s="2" t="s">
        <v>1077</v>
      </c>
      <c r="B73" s="2">
        <v>56</v>
      </c>
      <c r="C73" s="2">
        <v>3.97</v>
      </c>
      <c r="D73" s="2">
        <v>222.15</v>
      </c>
      <c r="E73" s="6">
        <f t="shared" si="6"/>
        <v>74</v>
      </c>
      <c r="F73" s="6">
        <f t="shared" si="7"/>
        <v>65</v>
      </c>
      <c r="G73" s="2">
        <f t="shared" si="8"/>
        <v>71.3</v>
      </c>
      <c r="H73" s="7">
        <v>72</v>
      </c>
    </row>
    <row r="74" spans="1:8" ht="14.25" customHeight="1" x14ac:dyDescent="0.3">
      <c r="A74" s="2" t="s">
        <v>1078</v>
      </c>
      <c r="B74" s="2">
        <v>51.5</v>
      </c>
      <c r="C74" s="2">
        <v>4.0599999999999996</v>
      </c>
      <c r="D74" s="2">
        <v>209</v>
      </c>
      <c r="E74" s="6">
        <f t="shared" si="6"/>
        <v>67</v>
      </c>
      <c r="F74" s="6">
        <f t="shared" si="7"/>
        <v>82</v>
      </c>
      <c r="G74" s="2">
        <f t="shared" si="8"/>
        <v>71.5</v>
      </c>
      <c r="H74" s="7">
        <v>73</v>
      </c>
    </row>
    <row r="75" spans="1:8" ht="14.25" customHeight="1" x14ac:dyDescent="0.3">
      <c r="A75" s="2" t="s">
        <v>1079</v>
      </c>
      <c r="B75" s="2">
        <v>50.5</v>
      </c>
      <c r="C75" s="2">
        <v>4.08</v>
      </c>
      <c r="D75" s="2">
        <v>205.8</v>
      </c>
      <c r="E75" s="6">
        <f t="shared" si="6"/>
        <v>64</v>
      </c>
      <c r="F75" s="6">
        <f t="shared" si="7"/>
        <v>90</v>
      </c>
      <c r="G75" s="2">
        <f t="shared" si="8"/>
        <v>71.8</v>
      </c>
      <c r="H75" s="7">
        <v>74</v>
      </c>
    </row>
    <row r="76" spans="1:8" ht="14.25" customHeight="1" x14ac:dyDescent="0.3">
      <c r="A76" s="2" t="s">
        <v>1080</v>
      </c>
      <c r="B76" s="2">
        <v>55</v>
      </c>
      <c r="C76" s="2">
        <v>3.96</v>
      </c>
      <c r="D76" s="2">
        <v>217.65</v>
      </c>
      <c r="E76" s="6">
        <f t="shared" si="6"/>
        <v>75</v>
      </c>
      <c r="F76" s="6">
        <f t="shared" si="7"/>
        <v>74</v>
      </c>
      <c r="G76" s="2">
        <f t="shared" si="8"/>
        <v>74.7</v>
      </c>
      <c r="H76" s="7">
        <v>75</v>
      </c>
    </row>
    <row r="77" spans="1:8" ht="14.25" customHeight="1" x14ac:dyDescent="0.3">
      <c r="A77" s="2" t="s">
        <v>1081</v>
      </c>
      <c r="B77" s="2">
        <v>52.5</v>
      </c>
      <c r="C77" s="2">
        <v>3.98</v>
      </c>
      <c r="D77" s="2">
        <v>208.75</v>
      </c>
      <c r="E77" s="6">
        <f t="shared" si="6"/>
        <v>72</v>
      </c>
      <c r="F77" s="6">
        <f t="shared" si="7"/>
        <v>84</v>
      </c>
      <c r="G77" s="2">
        <f t="shared" si="8"/>
        <v>75.599999999999994</v>
      </c>
      <c r="H77" s="7">
        <v>76</v>
      </c>
    </row>
    <row r="78" spans="1:8" ht="14.25" customHeight="1" x14ac:dyDescent="0.3">
      <c r="A78" s="2" t="s">
        <v>1082</v>
      </c>
      <c r="B78" s="2">
        <v>56.5</v>
      </c>
      <c r="C78" s="2">
        <v>3.9</v>
      </c>
      <c r="D78" s="2">
        <v>220.2</v>
      </c>
      <c r="E78" s="6">
        <f t="shared" si="6"/>
        <v>80</v>
      </c>
      <c r="F78" s="6">
        <f t="shared" si="7"/>
        <v>68</v>
      </c>
      <c r="G78" s="2">
        <f t="shared" si="8"/>
        <v>76.400000000000006</v>
      </c>
      <c r="H78" s="7">
        <v>77</v>
      </c>
    </row>
    <row r="79" spans="1:8" ht="14.25" customHeight="1" x14ac:dyDescent="0.3">
      <c r="A79" s="2" t="s">
        <v>1083</v>
      </c>
      <c r="B79" s="2">
        <v>55</v>
      </c>
      <c r="C79" s="2">
        <v>3.92</v>
      </c>
      <c r="D79" s="2">
        <v>215.55</v>
      </c>
      <c r="E79" s="6">
        <f t="shared" si="6"/>
        <v>78</v>
      </c>
      <c r="F79" s="6">
        <f t="shared" si="7"/>
        <v>75</v>
      </c>
      <c r="G79" s="2">
        <f t="shared" si="8"/>
        <v>77.099999999999994</v>
      </c>
      <c r="H79" s="7">
        <v>78</v>
      </c>
    </row>
    <row r="80" spans="1:8" ht="14.25" customHeight="1" x14ac:dyDescent="0.3">
      <c r="A80" s="2" t="s">
        <v>1084</v>
      </c>
      <c r="B80" s="2">
        <v>58</v>
      </c>
      <c r="C80" s="2">
        <v>3.82</v>
      </c>
      <c r="D80" s="2">
        <v>225.5</v>
      </c>
      <c r="E80" s="6">
        <f t="shared" si="6"/>
        <v>86</v>
      </c>
      <c r="F80" s="6">
        <f t="shared" si="7"/>
        <v>58</v>
      </c>
      <c r="G80" s="2">
        <f t="shared" si="8"/>
        <v>77.599999999999994</v>
      </c>
      <c r="H80" s="7">
        <v>79</v>
      </c>
    </row>
    <row r="81" spans="1:8" ht="14.25" customHeight="1" x14ac:dyDescent="0.3">
      <c r="A81" s="2" t="s">
        <v>1085</v>
      </c>
      <c r="B81" s="2">
        <v>56.5</v>
      </c>
      <c r="C81" s="2">
        <v>3.88</v>
      </c>
      <c r="D81" s="2">
        <v>219.45</v>
      </c>
      <c r="E81" s="6">
        <f t="shared" si="6"/>
        <v>83</v>
      </c>
      <c r="F81" s="6">
        <f t="shared" si="7"/>
        <v>69</v>
      </c>
      <c r="G81" s="2">
        <f t="shared" si="8"/>
        <v>78.8</v>
      </c>
      <c r="H81" s="7">
        <v>80</v>
      </c>
    </row>
    <row r="82" spans="1:8" ht="14.25" customHeight="1" x14ac:dyDescent="0.3">
      <c r="A82" s="2" t="s">
        <v>1086</v>
      </c>
      <c r="B82" s="2">
        <v>54</v>
      </c>
      <c r="C82" s="2">
        <v>3.91</v>
      </c>
      <c r="D82" s="2">
        <v>210.95</v>
      </c>
      <c r="E82" s="6">
        <f t="shared" si="6"/>
        <v>79</v>
      </c>
      <c r="F82" s="6">
        <f t="shared" si="7"/>
        <v>80</v>
      </c>
      <c r="G82" s="2">
        <f t="shared" si="8"/>
        <v>79.3</v>
      </c>
      <c r="H82" s="7">
        <v>81</v>
      </c>
    </row>
    <row r="83" spans="1:8" ht="14.25" customHeight="1" x14ac:dyDescent="0.3">
      <c r="A83" s="2" t="s">
        <v>1087</v>
      </c>
      <c r="B83" s="2">
        <v>53.5</v>
      </c>
      <c r="C83" s="2">
        <v>3.9</v>
      </c>
      <c r="D83" s="2">
        <v>208.55</v>
      </c>
      <c r="E83" s="6">
        <f t="shared" si="6"/>
        <v>80</v>
      </c>
      <c r="F83" s="6">
        <f t="shared" si="7"/>
        <v>85</v>
      </c>
      <c r="G83" s="2">
        <f t="shared" si="8"/>
        <v>81.5</v>
      </c>
      <c r="H83" s="7">
        <v>82</v>
      </c>
    </row>
    <row r="84" spans="1:8" ht="14.25" customHeight="1" x14ac:dyDescent="0.3">
      <c r="A84" s="2" t="s">
        <v>1088</v>
      </c>
      <c r="B84" s="2">
        <v>48.5</v>
      </c>
      <c r="C84" s="2">
        <v>3.93</v>
      </c>
      <c r="D84" s="2">
        <v>190.65</v>
      </c>
      <c r="E84" s="6">
        <f t="shared" si="6"/>
        <v>77</v>
      </c>
      <c r="F84" s="6">
        <f t="shared" si="7"/>
        <v>99</v>
      </c>
      <c r="G84" s="2">
        <f t="shared" si="8"/>
        <v>83.6</v>
      </c>
      <c r="H84" s="7">
        <v>83</v>
      </c>
    </row>
    <row r="85" spans="1:8" ht="14.25" customHeight="1" x14ac:dyDescent="0.3">
      <c r="A85" s="2" t="s">
        <v>1089</v>
      </c>
      <c r="B85" s="2">
        <v>58</v>
      </c>
      <c r="C85" s="2">
        <v>3.78</v>
      </c>
      <c r="D85" s="2">
        <v>219.1</v>
      </c>
      <c r="E85" s="6">
        <f t="shared" si="6"/>
        <v>90</v>
      </c>
      <c r="F85" s="6">
        <f t="shared" si="7"/>
        <v>70</v>
      </c>
      <c r="G85" s="2">
        <f t="shared" si="8"/>
        <v>84</v>
      </c>
      <c r="H85" s="7">
        <v>84</v>
      </c>
    </row>
    <row r="86" spans="1:8" ht="14.25" customHeight="1" x14ac:dyDescent="0.3">
      <c r="A86" s="2" t="s">
        <v>1090</v>
      </c>
      <c r="B86" s="2">
        <v>54.5</v>
      </c>
      <c r="C86" s="2">
        <v>3.83</v>
      </c>
      <c r="D86" s="2">
        <v>208.95</v>
      </c>
      <c r="E86" s="6">
        <f t="shared" si="6"/>
        <v>85</v>
      </c>
      <c r="F86" s="6">
        <f t="shared" si="7"/>
        <v>83</v>
      </c>
      <c r="G86" s="2">
        <f t="shared" si="8"/>
        <v>84.399999999999991</v>
      </c>
      <c r="H86" s="7">
        <v>85</v>
      </c>
    </row>
    <row r="87" spans="1:8" ht="14.25" customHeight="1" x14ac:dyDescent="0.3">
      <c r="A87" s="2" t="s">
        <v>1091</v>
      </c>
      <c r="B87" s="2">
        <v>55</v>
      </c>
      <c r="C87" s="2">
        <v>3.81</v>
      </c>
      <c r="D87" s="2">
        <v>209.55</v>
      </c>
      <c r="E87" s="6">
        <f t="shared" si="6"/>
        <v>87</v>
      </c>
      <c r="F87" s="6">
        <f t="shared" si="7"/>
        <v>81</v>
      </c>
      <c r="G87" s="2">
        <f t="shared" si="8"/>
        <v>85.2</v>
      </c>
      <c r="H87" s="7">
        <v>86</v>
      </c>
    </row>
    <row r="88" spans="1:8" ht="14.25" customHeight="1" x14ac:dyDescent="0.3">
      <c r="A88" s="2" t="s">
        <v>1092</v>
      </c>
      <c r="B88" s="2">
        <v>53</v>
      </c>
      <c r="C88" s="2">
        <v>3.85</v>
      </c>
      <c r="D88" s="2">
        <v>203.85</v>
      </c>
      <c r="E88" s="6">
        <f t="shared" si="6"/>
        <v>84</v>
      </c>
      <c r="F88" s="6">
        <f t="shared" si="7"/>
        <v>92</v>
      </c>
      <c r="G88" s="2">
        <f t="shared" si="8"/>
        <v>86.399999999999991</v>
      </c>
      <c r="H88" s="7">
        <v>87</v>
      </c>
    </row>
    <row r="89" spans="1:8" ht="14.25" customHeight="1" x14ac:dyDescent="0.3">
      <c r="A89" s="2" t="s">
        <v>1093</v>
      </c>
      <c r="B89" s="2">
        <v>50</v>
      </c>
      <c r="C89" s="2">
        <v>3.89</v>
      </c>
      <c r="D89" s="2">
        <v>194.25</v>
      </c>
      <c r="E89" s="6">
        <f t="shared" si="6"/>
        <v>82</v>
      </c>
      <c r="F89" s="6">
        <f t="shared" si="7"/>
        <v>97</v>
      </c>
      <c r="G89" s="2">
        <f t="shared" si="8"/>
        <v>86.5</v>
      </c>
      <c r="H89" s="7">
        <v>88</v>
      </c>
    </row>
    <row r="90" spans="1:8" ht="14.25" customHeight="1" x14ac:dyDescent="0.3">
      <c r="A90" s="2" t="s">
        <v>1094</v>
      </c>
      <c r="B90" s="2">
        <v>54.5</v>
      </c>
      <c r="C90" s="2">
        <v>3.81</v>
      </c>
      <c r="D90" s="2">
        <v>207.45</v>
      </c>
      <c r="E90" s="6">
        <f t="shared" si="6"/>
        <v>87</v>
      </c>
      <c r="F90" s="6">
        <f t="shared" si="7"/>
        <v>86</v>
      </c>
      <c r="G90" s="2">
        <f t="shared" si="8"/>
        <v>86.7</v>
      </c>
      <c r="H90" s="7">
        <v>89</v>
      </c>
    </row>
    <row r="91" spans="1:8" ht="14.25" customHeight="1" x14ac:dyDescent="0.3">
      <c r="A91" s="2" t="s">
        <v>1095</v>
      </c>
      <c r="B91" s="2">
        <v>57</v>
      </c>
      <c r="C91" s="2">
        <v>3.74</v>
      </c>
      <c r="D91" s="2">
        <v>213.2</v>
      </c>
      <c r="E91" s="6">
        <f t="shared" si="6"/>
        <v>93</v>
      </c>
      <c r="F91" s="6">
        <f t="shared" si="7"/>
        <v>77</v>
      </c>
      <c r="G91" s="2">
        <f t="shared" si="8"/>
        <v>88.199999999999989</v>
      </c>
      <c r="H91" s="7">
        <v>90</v>
      </c>
    </row>
    <row r="92" spans="1:8" ht="14.25" customHeight="1" x14ac:dyDescent="0.3">
      <c r="A92" s="2" t="s">
        <v>1096</v>
      </c>
      <c r="B92" s="2">
        <v>54.5</v>
      </c>
      <c r="C92" s="2">
        <v>3.79</v>
      </c>
      <c r="D92" s="2">
        <v>206.6</v>
      </c>
      <c r="E92" s="6">
        <f t="shared" si="6"/>
        <v>89</v>
      </c>
      <c r="F92" s="6">
        <f t="shared" si="7"/>
        <v>87</v>
      </c>
      <c r="G92" s="2">
        <f t="shared" si="8"/>
        <v>88.399999999999991</v>
      </c>
      <c r="H92" s="7">
        <v>91</v>
      </c>
    </row>
    <row r="93" spans="1:8" ht="14.25" customHeight="1" x14ac:dyDescent="0.3">
      <c r="A93" s="2" t="s">
        <v>1098</v>
      </c>
      <c r="B93" s="2">
        <v>53</v>
      </c>
      <c r="C93" s="2">
        <v>3.75</v>
      </c>
      <c r="D93" s="2">
        <v>193.2</v>
      </c>
      <c r="E93" s="6">
        <f t="shared" si="6"/>
        <v>92</v>
      </c>
      <c r="F93" s="6">
        <f t="shared" si="7"/>
        <v>98</v>
      </c>
      <c r="G93" s="2">
        <f t="shared" si="8"/>
        <v>93.799999999999983</v>
      </c>
      <c r="H93" s="7">
        <v>92</v>
      </c>
    </row>
    <row r="94" spans="1:8" ht="14.25" customHeight="1" x14ac:dyDescent="0.3">
      <c r="A94" s="2" t="s">
        <v>1097</v>
      </c>
      <c r="B94" s="2">
        <v>55.5</v>
      </c>
      <c r="C94" s="2">
        <v>3.68</v>
      </c>
      <c r="D94" s="2">
        <v>204</v>
      </c>
      <c r="E94" s="6">
        <f t="shared" si="6"/>
        <v>95</v>
      </c>
      <c r="F94" s="6">
        <f t="shared" si="7"/>
        <v>91</v>
      </c>
      <c r="G94" s="2">
        <f t="shared" si="8"/>
        <v>93.8</v>
      </c>
      <c r="H94" s="7">
        <v>92</v>
      </c>
    </row>
    <row r="95" spans="1:8" ht="14.25" customHeight="1" x14ac:dyDescent="0.3">
      <c r="A95" s="2" t="s">
        <v>1099</v>
      </c>
      <c r="B95" s="2">
        <v>52</v>
      </c>
      <c r="C95" s="2">
        <v>3.73</v>
      </c>
      <c r="D95" s="2">
        <v>203.1</v>
      </c>
      <c r="E95" s="6">
        <f t="shared" si="6"/>
        <v>94</v>
      </c>
      <c r="F95" s="6">
        <f t="shared" si="7"/>
        <v>94</v>
      </c>
      <c r="G95" s="2">
        <f t="shared" si="8"/>
        <v>94</v>
      </c>
      <c r="H95" s="7">
        <v>94</v>
      </c>
    </row>
    <row r="96" spans="1:8" ht="14.25" customHeight="1" x14ac:dyDescent="0.3">
      <c r="A96" s="2" t="s">
        <v>1100</v>
      </c>
      <c r="B96" s="2">
        <v>47</v>
      </c>
      <c r="C96" s="2">
        <v>3.78</v>
      </c>
      <c r="D96" s="2">
        <v>177.45</v>
      </c>
      <c r="E96" s="6">
        <f t="shared" si="6"/>
        <v>90</v>
      </c>
      <c r="F96" s="6">
        <f t="shared" si="7"/>
        <v>108</v>
      </c>
      <c r="G96" s="2">
        <f t="shared" si="8"/>
        <v>95.399999999999991</v>
      </c>
      <c r="H96" s="7">
        <v>95</v>
      </c>
    </row>
    <row r="97" spans="1:8" ht="14.25" customHeight="1" x14ac:dyDescent="0.3">
      <c r="A97" s="2" t="s">
        <v>1101</v>
      </c>
      <c r="B97" s="2">
        <v>57</v>
      </c>
      <c r="C97" s="2">
        <v>3.54</v>
      </c>
      <c r="D97" s="2">
        <v>212.3</v>
      </c>
      <c r="E97" s="6">
        <f t="shared" si="6"/>
        <v>103</v>
      </c>
      <c r="F97" s="6">
        <f t="shared" si="7"/>
        <v>78</v>
      </c>
      <c r="G97" s="2">
        <f t="shared" si="8"/>
        <v>95.5</v>
      </c>
      <c r="H97" s="7">
        <v>96</v>
      </c>
    </row>
    <row r="98" spans="1:8" ht="14.25" customHeight="1" x14ac:dyDescent="0.3">
      <c r="A98" s="2" t="s">
        <v>1102</v>
      </c>
      <c r="B98" s="2">
        <v>55.5</v>
      </c>
      <c r="C98" s="2">
        <v>3.66</v>
      </c>
      <c r="D98" s="2">
        <v>203.3</v>
      </c>
      <c r="E98" s="6">
        <f t="shared" ref="E98:E119" si="9">_xlfn.RANK.EQ(C98,C:C,0)</f>
        <v>97</v>
      </c>
      <c r="F98" s="6">
        <f t="shared" ref="F98:F119" si="10">_xlfn.RANK.EQ(D98,D:D,0)</f>
        <v>93</v>
      </c>
      <c r="G98" s="2">
        <f t="shared" ref="G98:G119" si="11">E98*0.7+F98*0.3</f>
        <v>95.799999999999983</v>
      </c>
      <c r="H98" s="7">
        <v>97</v>
      </c>
    </row>
    <row r="99" spans="1:8" ht="14.25" customHeight="1" x14ac:dyDescent="0.3">
      <c r="A99" s="2" t="s">
        <v>1103</v>
      </c>
      <c r="B99" s="2">
        <v>53</v>
      </c>
      <c r="C99" s="2">
        <v>3.61</v>
      </c>
      <c r="D99" s="2">
        <v>205.85</v>
      </c>
      <c r="E99" s="6">
        <f t="shared" si="9"/>
        <v>101</v>
      </c>
      <c r="F99" s="6">
        <f t="shared" si="10"/>
        <v>89</v>
      </c>
      <c r="G99" s="2">
        <f t="shared" si="11"/>
        <v>97.399999999999991</v>
      </c>
      <c r="H99" s="7">
        <v>98</v>
      </c>
    </row>
    <row r="100" spans="1:8" ht="14.25" customHeight="1" x14ac:dyDescent="0.3">
      <c r="A100" s="2" t="s">
        <v>1104</v>
      </c>
      <c r="B100" s="2">
        <v>52</v>
      </c>
      <c r="C100" s="2">
        <v>3.66</v>
      </c>
      <c r="D100" s="2">
        <v>190.2</v>
      </c>
      <c r="E100" s="6">
        <f t="shared" si="9"/>
        <v>97</v>
      </c>
      <c r="F100" s="6">
        <f t="shared" si="10"/>
        <v>100</v>
      </c>
      <c r="G100" s="2">
        <f t="shared" si="11"/>
        <v>97.899999999999991</v>
      </c>
      <c r="H100" s="7">
        <v>99</v>
      </c>
    </row>
    <row r="101" spans="1:8" ht="14.25" customHeight="1" x14ac:dyDescent="0.3">
      <c r="A101" s="2" t="s">
        <v>1105</v>
      </c>
      <c r="B101" s="2">
        <v>49.5</v>
      </c>
      <c r="C101" s="2">
        <v>3.63</v>
      </c>
      <c r="D101" s="2">
        <v>194.3</v>
      </c>
      <c r="E101" s="6">
        <f t="shared" si="9"/>
        <v>99</v>
      </c>
      <c r="F101" s="6">
        <f t="shared" si="10"/>
        <v>96</v>
      </c>
      <c r="G101" s="2">
        <f t="shared" si="11"/>
        <v>98.1</v>
      </c>
      <c r="H101" s="7">
        <v>100</v>
      </c>
    </row>
    <row r="102" spans="1:8" ht="14.25" customHeight="1" x14ac:dyDescent="0.3">
      <c r="A102" s="2" t="s">
        <v>1106</v>
      </c>
      <c r="B102" s="2">
        <v>51</v>
      </c>
      <c r="C102" s="2">
        <v>3.67</v>
      </c>
      <c r="D102" s="2">
        <v>186.95</v>
      </c>
      <c r="E102" s="6">
        <f t="shared" si="9"/>
        <v>96</v>
      </c>
      <c r="F102" s="6">
        <f t="shared" si="10"/>
        <v>104</v>
      </c>
      <c r="G102" s="2">
        <f t="shared" si="11"/>
        <v>98.399999999999991</v>
      </c>
      <c r="H102" s="7">
        <v>101</v>
      </c>
    </row>
    <row r="103" spans="1:8" ht="14.25" customHeight="1" x14ac:dyDescent="0.3">
      <c r="A103" s="2" t="s">
        <v>1107</v>
      </c>
      <c r="B103" s="2">
        <v>53</v>
      </c>
      <c r="C103" s="2">
        <v>3.54</v>
      </c>
      <c r="D103" s="2">
        <v>202.05</v>
      </c>
      <c r="E103" s="6">
        <f t="shared" si="9"/>
        <v>103</v>
      </c>
      <c r="F103" s="6">
        <f t="shared" si="10"/>
        <v>95</v>
      </c>
      <c r="G103" s="2">
        <f t="shared" si="11"/>
        <v>100.6</v>
      </c>
      <c r="H103" s="7">
        <v>102</v>
      </c>
    </row>
    <row r="104" spans="1:8" ht="14.25" customHeight="1" x14ac:dyDescent="0.3">
      <c r="A104" s="2" t="s">
        <v>1108</v>
      </c>
      <c r="B104" s="2">
        <v>50</v>
      </c>
      <c r="C104" s="2">
        <v>3.54</v>
      </c>
      <c r="D104" s="2">
        <v>187.8</v>
      </c>
      <c r="E104" s="6">
        <f t="shared" si="9"/>
        <v>103</v>
      </c>
      <c r="F104" s="6">
        <f t="shared" si="10"/>
        <v>103</v>
      </c>
      <c r="G104" s="2">
        <f t="shared" si="11"/>
        <v>103</v>
      </c>
      <c r="H104" s="7">
        <v>103</v>
      </c>
    </row>
    <row r="105" spans="1:8" ht="14.25" customHeight="1" x14ac:dyDescent="0.3">
      <c r="A105" s="2" t="s">
        <v>1109</v>
      </c>
      <c r="B105" s="2">
        <v>50.5</v>
      </c>
      <c r="C105" s="2">
        <v>3.55</v>
      </c>
      <c r="D105" s="2">
        <v>179.1</v>
      </c>
      <c r="E105" s="6">
        <f t="shared" si="9"/>
        <v>102</v>
      </c>
      <c r="F105" s="6">
        <f t="shared" si="10"/>
        <v>107</v>
      </c>
      <c r="G105" s="2">
        <f t="shared" si="11"/>
        <v>103.5</v>
      </c>
      <c r="H105" s="7">
        <v>104</v>
      </c>
    </row>
    <row r="106" spans="1:8" ht="14.25" customHeight="1" x14ac:dyDescent="0.3">
      <c r="A106" s="2" t="s">
        <v>1110</v>
      </c>
      <c r="B106" s="2">
        <v>22.5</v>
      </c>
      <c r="C106" s="2">
        <v>3.63</v>
      </c>
      <c r="D106" s="2">
        <v>81.75</v>
      </c>
      <c r="E106" s="6">
        <f t="shared" si="9"/>
        <v>99</v>
      </c>
      <c r="F106" s="6">
        <f t="shared" si="10"/>
        <v>118</v>
      </c>
      <c r="G106" s="2">
        <f t="shared" si="11"/>
        <v>104.69999999999999</v>
      </c>
      <c r="H106" s="7">
        <v>105</v>
      </c>
    </row>
    <row r="107" spans="1:8" ht="14.25" customHeight="1" x14ac:dyDescent="0.3">
      <c r="A107" s="2" t="s">
        <v>1111</v>
      </c>
      <c r="B107" s="2">
        <v>53.5</v>
      </c>
      <c r="C107" s="2">
        <v>3.52</v>
      </c>
      <c r="D107" s="2">
        <v>188.4</v>
      </c>
      <c r="E107" s="6">
        <f t="shared" si="9"/>
        <v>106</v>
      </c>
      <c r="F107" s="6">
        <f t="shared" si="10"/>
        <v>102</v>
      </c>
      <c r="G107" s="2">
        <f t="shared" si="11"/>
        <v>104.79999999999998</v>
      </c>
      <c r="H107" s="7">
        <v>106</v>
      </c>
    </row>
    <row r="108" spans="1:8" ht="14.25" customHeight="1" x14ac:dyDescent="0.3">
      <c r="A108" s="2" t="s">
        <v>1112</v>
      </c>
      <c r="B108" s="2">
        <v>50</v>
      </c>
      <c r="C108" s="2">
        <v>3.5</v>
      </c>
      <c r="D108" s="2">
        <v>189.15</v>
      </c>
      <c r="E108" s="6">
        <f t="shared" si="9"/>
        <v>107</v>
      </c>
      <c r="F108" s="6">
        <f t="shared" si="10"/>
        <v>101</v>
      </c>
      <c r="G108" s="2">
        <f t="shared" si="11"/>
        <v>105.19999999999999</v>
      </c>
      <c r="H108" s="7">
        <v>107</v>
      </c>
    </row>
    <row r="109" spans="1:8" ht="14.25" customHeight="1" x14ac:dyDescent="0.3">
      <c r="A109" s="2" t="s">
        <v>1113</v>
      </c>
      <c r="B109" s="2">
        <v>53</v>
      </c>
      <c r="C109" s="2">
        <v>3.45</v>
      </c>
      <c r="D109" s="2">
        <v>182.85</v>
      </c>
      <c r="E109" s="6">
        <f t="shared" si="9"/>
        <v>109</v>
      </c>
      <c r="F109" s="6">
        <f t="shared" si="10"/>
        <v>105</v>
      </c>
      <c r="G109" s="2">
        <f t="shared" si="11"/>
        <v>107.8</v>
      </c>
      <c r="H109" s="7">
        <v>108</v>
      </c>
    </row>
    <row r="110" spans="1:8" ht="14.25" customHeight="1" x14ac:dyDescent="0.3">
      <c r="A110" s="2" t="s">
        <v>1114</v>
      </c>
      <c r="B110" s="2">
        <v>51</v>
      </c>
      <c r="C110" s="2">
        <v>3.47</v>
      </c>
      <c r="D110" s="2">
        <v>176.85</v>
      </c>
      <c r="E110" s="6">
        <f t="shared" si="9"/>
        <v>108</v>
      </c>
      <c r="F110" s="6">
        <f t="shared" si="10"/>
        <v>109</v>
      </c>
      <c r="G110" s="2">
        <f t="shared" si="11"/>
        <v>108.29999999999998</v>
      </c>
      <c r="H110" s="7">
        <v>109</v>
      </c>
    </row>
    <row r="111" spans="1:8" ht="14.25" customHeight="1" x14ac:dyDescent="0.3">
      <c r="A111" s="2" t="s">
        <v>1115</v>
      </c>
      <c r="B111" s="2">
        <v>54.5</v>
      </c>
      <c r="C111" s="2">
        <v>3.34</v>
      </c>
      <c r="D111" s="2">
        <v>181.8</v>
      </c>
      <c r="E111" s="6">
        <f t="shared" si="9"/>
        <v>110</v>
      </c>
      <c r="F111" s="6">
        <f t="shared" si="10"/>
        <v>106</v>
      </c>
      <c r="G111" s="2">
        <f t="shared" si="11"/>
        <v>108.8</v>
      </c>
      <c r="H111" s="7">
        <v>110</v>
      </c>
    </row>
    <row r="112" spans="1:8" ht="14.25" customHeight="1" x14ac:dyDescent="0.3">
      <c r="A112" s="2" t="s">
        <v>1116</v>
      </c>
      <c r="B112" s="2">
        <v>52</v>
      </c>
      <c r="C112" s="2">
        <v>3.17</v>
      </c>
      <c r="D112" s="2">
        <v>165.05</v>
      </c>
      <c r="E112" s="6">
        <f t="shared" si="9"/>
        <v>111</v>
      </c>
      <c r="F112" s="6">
        <f t="shared" si="10"/>
        <v>113</v>
      </c>
      <c r="G112" s="2">
        <f t="shared" si="11"/>
        <v>111.6</v>
      </c>
      <c r="H112" s="7">
        <v>111</v>
      </c>
    </row>
    <row r="113" spans="1:8" ht="14.25" customHeight="1" x14ac:dyDescent="0.3">
      <c r="A113" s="2" t="s">
        <v>1117</v>
      </c>
      <c r="B113" s="2">
        <v>52.5</v>
      </c>
      <c r="C113" s="2">
        <v>3.15</v>
      </c>
      <c r="D113" s="2">
        <v>168.55</v>
      </c>
      <c r="E113" s="6">
        <f t="shared" si="9"/>
        <v>113</v>
      </c>
      <c r="F113" s="6">
        <f t="shared" si="10"/>
        <v>110</v>
      </c>
      <c r="G113" s="2">
        <f t="shared" si="11"/>
        <v>112.1</v>
      </c>
      <c r="H113" s="7">
        <v>112</v>
      </c>
    </row>
    <row r="114" spans="1:8" ht="14.25" customHeight="1" x14ac:dyDescent="0.3">
      <c r="A114" s="2" t="s">
        <v>1118</v>
      </c>
      <c r="B114" s="2">
        <v>52</v>
      </c>
      <c r="C114" s="2">
        <v>3.16</v>
      </c>
      <c r="D114" s="2">
        <v>164.55</v>
      </c>
      <c r="E114" s="6">
        <f t="shared" si="9"/>
        <v>112</v>
      </c>
      <c r="F114" s="6">
        <f t="shared" si="10"/>
        <v>114</v>
      </c>
      <c r="G114" s="2">
        <f t="shared" si="11"/>
        <v>112.6</v>
      </c>
      <c r="H114" s="7">
        <v>113</v>
      </c>
    </row>
    <row r="115" spans="1:8" ht="14.25" customHeight="1" x14ac:dyDescent="0.3">
      <c r="A115" s="2" t="s">
        <v>1119</v>
      </c>
      <c r="B115" s="2">
        <v>50</v>
      </c>
      <c r="C115" s="2">
        <v>2.99</v>
      </c>
      <c r="D115" s="2">
        <v>167.2</v>
      </c>
      <c r="E115" s="6">
        <f t="shared" si="9"/>
        <v>115</v>
      </c>
      <c r="F115" s="6">
        <f t="shared" si="10"/>
        <v>112</v>
      </c>
      <c r="G115" s="2">
        <f t="shared" si="11"/>
        <v>114.1</v>
      </c>
      <c r="H115" s="7">
        <v>114</v>
      </c>
    </row>
    <row r="116" spans="1:8" ht="14.25" customHeight="1" x14ac:dyDescent="0.3">
      <c r="A116" s="2" t="s">
        <v>1120</v>
      </c>
      <c r="B116" s="2">
        <v>51</v>
      </c>
      <c r="C116" s="2">
        <v>2.76</v>
      </c>
      <c r="D116" s="2">
        <v>168.3</v>
      </c>
      <c r="E116" s="6">
        <f t="shared" si="9"/>
        <v>116</v>
      </c>
      <c r="F116" s="6">
        <f t="shared" si="10"/>
        <v>111</v>
      </c>
      <c r="G116" s="2">
        <f t="shared" si="11"/>
        <v>114.49999999999999</v>
      </c>
      <c r="H116" s="7">
        <v>115</v>
      </c>
    </row>
    <row r="117" spans="1:8" ht="14.25" customHeight="1" x14ac:dyDescent="0.3">
      <c r="A117" s="2" t="s">
        <v>1121</v>
      </c>
      <c r="B117" s="2">
        <v>46.5</v>
      </c>
      <c r="C117" s="2">
        <v>3</v>
      </c>
      <c r="D117" s="2">
        <v>146.9</v>
      </c>
      <c r="E117" s="6">
        <f t="shared" si="9"/>
        <v>114</v>
      </c>
      <c r="F117" s="6">
        <f t="shared" si="10"/>
        <v>116</v>
      </c>
      <c r="G117" s="2">
        <f t="shared" si="11"/>
        <v>114.6</v>
      </c>
      <c r="H117" s="7">
        <v>116</v>
      </c>
    </row>
    <row r="118" spans="1:8" ht="14.25" customHeight="1" x14ac:dyDescent="0.3">
      <c r="A118" s="2" t="s">
        <v>1122</v>
      </c>
      <c r="B118" s="2">
        <v>46</v>
      </c>
      <c r="C118" s="2">
        <v>2.7</v>
      </c>
      <c r="D118" s="2">
        <v>148.4</v>
      </c>
      <c r="E118" s="6">
        <f t="shared" si="9"/>
        <v>117</v>
      </c>
      <c r="F118" s="6">
        <f t="shared" si="10"/>
        <v>115</v>
      </c>
      <c r="G118" s="2">
        <f t="shared" si="11"/>
        <v>116.39999999999999</v>
      </c>
      <c r="H118" s="7">
        <v>117</v>
      </c>
    </row>
    <row r="119" spans="1:8" ht="14.25" customHeight="1" x14ac:dyDescent="0.3">
      <c r="A119" s="2" t="s">
        <v>1123</v>
      </c>
      <c r="B119" s="2">
        <v>42.5</v>
      </c>
      <c r="C119" s="2">
        <v>2.67</v>
      </c>
      <c r="D119" s="2">
        <v>136</v>
      </c>
      <c r="E119" s="6">
        <f t="shared" si="9"/>
        <v>118</v>
      </c>
      <c r="F119" s="6">
        <f t="shared" si="10"/>
        <v>117</v>
      </c>
      <c r="G119" s="2">
        <f t="shared" si="11"/>
        <v>117.69999999999999</v>
      </c>
      <c r="H119" s="7">
        <v>118</v>
      </c>
    </row>
  </sheetData>
  <autoFilter ref="A1:H119" xr:uid="{0BFB550A-AD51-4579-88D7-CF56CA5D3117}">
    <sortState xmlns:xlrd2="http://schemas.microsoft.com/office/spreadsheetml/2017/richdata2" ref="A3:H119">
      <sortCondition ref="H2:H119"/>
    </sortState>
  </autoFilter>
  <sortState xmlns:xlrd2="http://schemas.microsoft.com/office/spreadsheetml/2017/richdata2" ref="A2:H121">
    <sortCondition ref="H1:H121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工科试验班（智慧能源）</vt:lpstr>
      <vt:lpstr>工科试验班</vt:lpstr>
      <vt:lpstr>工科试验班（智慧城市与建筑工程）</vt:lpstr>
      <vt:lpstr>工科试验班（海洋）</vt:lpstr>
      <vt:lpstr>医学试验班类（5+3）</vt:lpstr>
      <vt:lpstr>医学试验班类</vt:lpstr>
      <vt:lpstr>预防医学</vt:lpstr>
      <vt:lpstr>药学类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huawei</cp:lastModifiedBy>
  <dcterms:created xsi:type="dcterms:W3CDTF">2006-09-16T00:00:00Z</dcterms:created>
  <dcterms:modified xsi:type="dcterms:W3CDTF">2025-09-22T09:14:45Z</dcterms:modified>
</cp:coreProperties>
</file>